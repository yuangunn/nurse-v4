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/Users/yuangunn/nurse-v4/standalone/"/>
    </mc:Choice>
  </mc:AlternateContent>
  <xr:revisionPtr revIDLastSave="0" documentId="13_ncr:1_{B5BD7204-2F03-8C4C-8796-A6F4D93D926D}" xr6:coauthVersionLast="47" xr6:coauthVersionMax="47" xr10:uidLastSave="{00000000-0000-0000-0000-000000000000}"/>
  <bookViews>
    <workbookView xWindow="0" yWindow="780" windowWidth="36000" windowHeight="22600" activeTab="3" xr2:uid="{8FCA4D75-4ED0-5940-9A28-47A63483F062}"/>
  </bookViews>
  <sheets>
    <sheet name="설정" sheetId="2" r:id="rId1"/>
    <sheet name="어싸인_2026-08" sheetId="4" r:id="rId2"/>
    <sheet name="어싸인상세_2026-08" sheetId="5" r:id="rId3"/>
    <sheet name="근무표_2026-08" sheetId="8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F27" i="8" l="1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C27" i="8"/>
  <c r="B27" i="8"/>
  <c r="AF25" i="8"/>
  <c r="AE25" i="8"/>
  <c r="AD25" i="8"/>
  <c r="AC25" i="8"/>
  <c r="AB25" i="8"/>
  <c r="AA25" i="8"/>
  <c r="Z25" i="8"/>
  <c r="Y25" i="8"/>
  <c r="X25" i="8"/>
  <c r="W25" i="8"/>
  <c r="V25" i="8"/>
  <c r="U25" i="8"/>
  <c r="T25" i="8"/>
  <c r="S25" i="8"/>
  <c r="R25" i="8"/>
  <c r="Q25" i="8"/>
  <c r="P25" i="8"/>
  <c r="O25" i="8"/>
  <c r="N25" i="8"/>
  <c r="M25" i="8"/>
  <c r="L25" i="8"/>
  <c r="K25" i="8"/>
  <c r="J25" i="8"/>
  <c r="I25" i="8"/>
  <c r="H25" i="8"/>
  <c r="G25" i="8"/>
  <c r="F25" i="8"/>
  <c r="E25" i="8"/>
  <c r="D25" i="8"/>
  <c r="C25" i="8"/>
  <c r="B25" i="8"/>
  <c r="AF23" i="8"/>
  <c r="AE23" i="8"/>
  <c r="AD23" i="8"/>
  <c r="AC23" i="8"/>
  <c r="AB23" i="8"/>
  <c r="AA23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B23" i="8"/>
</calcChain>
</file>

<file path=xl/sharedStrings.xml><?xml version="1.0" encoding="utf-8"?>
<sst xmlns="http://schemas.openxmlformats.org/spreadsheetml/2006/main" count="342" uniqueCount="117">
  <si>
    <t>어싸인 자동 배정 — 초기 설정</t>
  </si>
  <si>
    <t>■ 간호사 목록  (위 = 선임 · O 표시 = 해당 근무 가능 · DC/EC/NC에 O = 차지 가능)</t>
  </si>
  <si>
    <t>이름</t>
  </si>
  <si>
    <t>DC</t>
  </si>
  <si>
    <t>D</t>
  </si>
  <si>
    <t>EC</t>
  </si>
  <si>
    <t>E</t>
  </si>
  <si>
    <t>NC</t>
  </si>
  <si>
    <t>N</t>
  </si>
  <si>
    <t>비고</t>
  </si>
  <si>
    <t>O</t>
  </si>
  <si>
    <t>■ 배정 원칙 (O = 사용)</t>
  </si>
  <si>
    <t>■ 요일별 필요인원 (근무표 생성 시 기본값 — 근무표 하단에서 일별 수정 가능)</t>
  </si>
  <si>
    <t>구분</t>
  </si>
  <si>
    <t>월</t>
  </si>
  <si>
    <t>화</t>
  </si>
  <si>
    <t>수</t>
  </si>
  <si>
    <t>목</t>
  </si>
  <si>
    <t>금</t>
  </si>
  <si>
    <t>토</t>
  </si>
  <si>
    <t>일</t>
  </si>
  <si>
    <t>■ 방 목록</t>
  </si>
  <si>
    <t>방번호</t>
  </si>
  <si>
    <t>유형</t>
  </si>
  <si>
    <t>5인실</t>
  </si>
  <si>
    <t>2인실</t>
  </si>
  <si>
    <t>1인실</t>
  </si>
  <si>
    <t>■ 어싸인별 방 구성 (근무 인원수별 · 방번호 쉼표 구분 · 2인 근무는 비워두면 수동 분배)</t>
  </si>
  <si>
    <t>인원수</t>
  </si>
  <si>
    <t>어싸인</t>
  </si>
  <si>
    <t>방 목록</t>
  </si>
  <si>
    <t>5인</t>
  </si>
  <si>
    <t>차지</t>
  </si>
  <si>
    <t>1012, 1014</t>
  </si>
  <si>
    <t>A</t>
  </si>
  <si>
    <t>1001, 1002</t>
  </si>
  <si>
    <t>B</t>
  </si>
  <si>
    <t>1003, 1004</t>
  </si>
  <si>
    <t>C</t>
  </si>
  <si>
    <t>1005, 1010, 1011</t>
  </si>
  <si>
    <t>1006, 1007, 1008, 1009</t>
  </si>
  <si>
    <t>4인</t>
  </si>
  <si>
    <t>1001, 1014</t>
  </si>
  <si>
    <t>1002, 1003, 1012</t>
  </si>
  <si>
    <t>1004, 1005, 1011</t>
  </si>
  <si>
    <t>1006, 1007, 1008, 1009, 1010</t>
  </si>
  <si>
    <t>3인</t>
  </si>
  <si>
    <t>1001, 1012, 1014</t>
  </si>
  <si>
    <t>1002, 1003, 1004, 1011</t>
  </si>
  <si>
    <t>1005, 1006, 1007, 1008, 1009, 1010</t>
  </si>
  <si>
    <t>2인</t>
  </si>
  <si>
    <t>■ 사용법</t>
  </si>
  <si>
    <t>1. 이 시트의 간호사 목록·방 구성 등을 병동에 맞게 수정</t>
  </si>
  <si>
    <t>3. 근무표에 근무 입력:</t>
  </si>
  <si>
    <t xml:space="preserve">   D E N = 일반 / DC EC NC = 차지 / OF 주 V 등 = 어싸인 제외</t>
  </si>
  <si>
    <t xml:space="preserve">   선입력: D/A E/B N/C 식으로 쓰면 그 어싸인으로 고정되고</t>
  </si>
  <si>
    <t xml:space="preserve">   (예: 1일 하루만 어싸인을 적으면 2일부터 자동)</t>
  </si>
  <si>
    <t>4. 근무표 하단 필요인원 행에서 일별 인원 수정 가능</t>
  </si>
  <si>
    <t xml:space="preserve">   (인원 행이 필요와 다르면 빨간색 표시)</t>
  </si>
  <si>
    <t>5. 근무표 시트의 [어싸인 배정] 버튼 클릭</t>
  </si>
  <si>
    <t xml:space="preserve">   → 어싸인_년-월 (그리드) / 어싸인상세_년-월 (일별 표) 생성</t>
  </si>
  <si>
    <t xml:space="preserve">   굵은 글씨 = 선입력으로 고정된 칸</t>
  </si>
  <si>
    <t>6. 선입력을 고치고 버튼을 다시 누르면 재배정됩니다.</t>
  </si>
  <si>
    <t>2026년 8월 근무표</t>
  </si>
  <si>
    <t>입력: D E N (일반) · DC EC NC (차지) · D/A E/B 식 = 어싸인 선입력(고정) · OF 주 V 등 = 어싸인 제외</t>
  </si>
  <si>
    <t>D 인원</t>
  </si>
  <si>
    <t>D 필요</t>
  </si>
  <si>
    <t>E 인원</t>
  </si>
  <si>
    <t>E 필요</t>
  </si>
  <si>
    <t>N 인원</t>
  </si>
  <si>
    <t>N 필요</t>
  </si>
  <si>
    <t>D/C</t>
  </si>
  <si>
    <t>날짜</t>
  </si>
  <si>
    <t>시간대</t>
  </si>
  <si>
    <t>간호사</t>
  </si>
  <si>
    <t>병실</t>
  </si>
  <si>
    <t>D/A</t>
  </si>
  <si>
    <t>D/B</t>
  </si>
  <si>
    <t>D</t>
    <phoneticPr fontId="1" type="noConversion"/>
  </si>
  <si>
    <t>예시)간호01</t>
  </si>
  <si>
    <t>예시)간호02</t>
  </si>
  <si>
    <t>예시)간호03</t>
  </si>
  <si>
    <t>예시)간호04</t>
  </si>
  <si>
    <t>예시)간호05</t>
  </si>
  <si>
    <t>예시)간호06</t>
  </si>
  <si>
    <t>예시)간호07</t>
  </si>
  <si>
    <t>예시)간호08</t>
  </si>
  <si>
    <t>예시)간호09</t>
  </si>
  <si>
    <t>예시)간호10</t>
  </si>
  <si>
    <t>예시)간호11</t>
  </si>
  <si>
    <t>예시)간호12</t>
  </si>
  <si>
    <t>예시)간호13</t>
  </si>
  <si>
    <t>예시)간호14</t>
  </si>
  <si>
    <t>예시)간호15</t>
  </si>
  <si>
    <t>예시)간호16</t>
  </si>
  <si>
    <t>예시)간호17</t>
  </si>
  <si>
    <t>예시)간호18</t>
  </si>
  <si>
    <t>2026-08 어싸인표</t>
  </si>
  <si>
    <t>DC EC NC=차지 · D/A E/B=근무/방 · 색=근무(D 파랑·E 초록·N 주황) · 굵게=선입력 고정 · /—=헬퍼</t>
  </si>
  <si>
    <t>2026-08 어싸인 상세</t>
  </si>
  <si>
    <t>1001호(5인실) 1012호(2인실) 1014호(5인실)</t>
  </si>
  <si>
    <t>1002호(5인실) 1003호(5인실) 1004호(5인실) 1011호(2인실)</t>
  </si>
  <si>
    <t>1005호(5인실) 1006호(5인실) 1007호(2인실) 1008호(2인실) 1009호(1인실) 1010호(2인실)</t>
  </si>
  <si>
    <t>2. 위 [근무표 생성] 버튼 → 년·월 입력 → 빈 근무표 시트 생성</t>
  </si>
  <si>
    <t>원칙1 — 전일 같은 근무면 방 유지</t>
  </si>
  <si>
    <t>원칙2 — 근무 바뀌어도 방 유지</t>
  </si>
  <si>
    <t>원칙3 — 오프 복귀자 방 유지</t>
  </si>
  <si>
    <t>※ 원칙3·4는 반대 개념 — 동시에 O 금지 (동시 O면 원칙3만 적용되고 배정 시 경고)</t>
  </si>
  <si>
    <t xml:space="preserve">   이후 날짜는 원칙 1~3으로 이어서 자동 배정됩니다.</t>
  </si>
  <si>
    <t>OF</t>
  </si>
  <si>
    <t>1001호(5인실) 1014호(5인실)</t>
  </si>
  <si>
    <t>1002호(5인실) 1003호(5인실) 1012호(2인실)</t>
  </si>
  <si>
    <t>1004호(5인실) 1005호(5인실) 1011호(2인실)</t>
  </si>
  <si>
    <t>1006호(5인실) 1007호(2인실) 1008호(2인실) 1009호(1인실) 1010호(2인실)</t>
  </si>
  <si>
    <t>X</t>
    <phoneticPr fontId="1" type="noConversion"/>
  </si>
  <si>
    <t>O</t>
    <phoneticPr fontId="1" type="noConversion"/>
  </si>
  <si>
    <t>원칙4 — 오프 복귀자 튕기기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</si>
</sst>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</font>
    <font>
      <sz val="10"/>
      <color theme="1"/>
      <name val="맑은 고딕"/>
      <family val="2"/>
      <charset val="129"/>
    </font>
    <font>
      <b/>
      <sz val="14"/>
      <color rgb="FF2E384D"/>
      <name val="맑은 고딕"/>
      <family val="2"/>
      <charset val="129"/>
    </font>
    <font>
      <b/>
      <sz val="11"/>
      <color rgb="FF2E384D"/>
      <name val="맑은 고딕"/>
      <family val="2"/>
      <charset val="129"/>
    </font>
    <font>
      <b/>
      <sz val="10"/>
      <color rgb="FF373E50"/>
      <name val="맑은 고딕"/>
      <family val="2"/>
      <charset val="129"/>
    </font>
    <font>
      <b/>
      <sz val="10"/>
      <color rgb="FF1E5AC8"/>
      <name val="맑은 고딕"/>
      <family val="2"/>
      <charset val="129"/>
    </font>
    <font>
      <b/>
      <sz val="10"/>
      <color rgb="FFC82828"/>
      <name val="맑은 고딕"/>
      <family val="2"/>
      <charset val="129"/>
    </font>
    <font>
      <b/>
      <sz val="13"/>
      <color rgb="FF2E384D"/>
      <name val="맑은 고딕"/>
      <family val="2"/>
      <charset val="129"/>
    </font>
    <font>
      <sz val="9"/>
      <color rgb="FF828694"/>
      <name val="맑은 고딕"/>
      <family val="2"/>
      <charset val="129"/>
    </font>
    <font>
      <sz val="10"/>
      <color rgb="FF5A606E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D9E9FF"/>
        <bgColor indexed="64"/>
      </patternFill>
    </fill>
    <fill>
      <patternFill patternType="solid">
        <fgColor rgb="FFEDF0F5"/>
        <bgColor indexed="64"/>
      </patternFill>
    </fill>
    <fill>
      <patternFill patternType="solid">
        <fgColor rgb="FFF8F9FB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rgb="FF969EAC"/>
      </bottom>
      <diagonal/>
    </border>
    <border>
      <left style="thin">
        <color rgb="FFD6DAE2"/>
      </left>
      <right style="thin">
        <color rgb="FFD6DAE2"/>
      </right>
      <top style="thin">
        <color rgb="FFD6DAE2"/>
      </top>
      <bottom style="thin">
        <color rgb="FFD6DAE2"/>
      </bottom>
      <diagonal/>
    </border>
    <border>
      <left style="thin">
        <color rgb="FFD6DAE2"/>
      </left>
      <right style="thin">
        <color rgb="FFD6DAE2"/>
      </right>
      <top style="thin">
        <color rgb="FFD6DAE2"/>
      </top>
      <bottom/>
      <diagonal/>
    </border>
    <border>
      <left style="thin">
        <color rgb="FFD6DAE2"/>
      </left>
      <right style="thin">
        <color rgb="FFD6DAE2"/>
      </right>
      <top/>
      <bottom style="thin">
        <color rgb="FFD6DAE2"/>
      </bottom>
      <diagonal/>
    </border>
    <border>
      <left style="thin">
        <color rgb="FFD6DAE2"/>
      </left>
      <right style="thin">
        <color rgb="FFD6DAE2"/>
      </right>
      <top style="medium">
        <color rgb="FF969EAC"/>
      </top>
      <bottom style="thin">
        <color rgb="FFD6DAE2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1" xfId="0" applyFont="1" applyBorder="1">
      <alignment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2" xfId="0" applyFont="1" applyBorder="1">
      <alignment vertical="center"/>
    </xf>
    <xf numFmtId="0" fontId="3" fillId="0" borderId="2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2" fillId="3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1" fillId="4" borderId="2" xfId="0" applyFont="1" applyFill="1" applyBorder="1">
      <alignment vertical="center"/>
    </xf>
    <xf numFmtId="0" fontId="3" fillId="4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11" fillId="4" borderId="4" xfId="0" applyFont="1" applyFill="1" applyBorder="1">
      <alignment vertical="center"/>
    </xf>
    <xf numFmtId="0" fontId="3" fillId="4" borderId="4" xfId="0" applyFont="1" applyFill="1" applyBorder="1" applyAlignment="1">
      <alignment horizontal="center" vertical="center"/>
    </xf>
    <xf numFmtId="0" fontId="11" fillId="4" borderId="5" xfId="0" applyFont="1" applyFill="1" applyBorder="1">
      <alignment vertical="center"/>
    </xf>
    <xf numFmtId="0" fontId="3" fillId="4" borderId="5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left" vertical="center"/>
    </xf>
  </cellXfs>
  <cellStyles count="1">
    <cellStyle name="표준" xfId="0" builtinId="0"/>
  </cellStyles>
  <dxfs count="93"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  <dxf>
      <font>
        <b/>
        <i val="0"/>
        <color rgb="FFC8282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25400</xdr:rowOff>
        </xdr:from>
        <xdr:to>
          <xdr:col>9</xdr:col>
          <xdr:colOff>1397000</xdr:colOff>
          <xdr:row>1</xdr:row>
          <xdr:rowOff>50800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95F4751E-CC27-2013-0C14-9E86F23755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근무표 생성 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1498600</xdr:colOff>
          <xdr:row>0</xdr:row>
          <xdr:rowOff>25400</xdr:rowOff>
        </xdr:from>
        <xdr:to>
          <xdr:col>10</xdr:col>
          <xdr:colOff>419100</xdr:colOff>
          <xdr:row>1</xdr:row>
          <xdr:rowOff>50800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F09600D6-1EF5-5E39-0C63-B49B9E967E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어싸인 배정 (최근) →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7</xdr:col>
          <xdr:colOff>457200</xdr:colOff>
          <xdr:row>1</xdr:row>
          <xdr:rowOff>50800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2CE7FAE4-196E-C105-70AC-493D61A7D8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어싸인 배정 →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71582-3A3D-4545-AF73-CDDBE3DF8EA6}">
  <sheetPr codeName="Sheet2"/>
  <dimension ref="A1:S48"/>
  <sheetViews>
    <sheetView showGridLines="0" workbookViewId="0">
      <selection activeCell="L17" sqref="L17"/>
    </sheetView>
  </sheetViews>
  <sheetFormatPr baseColWidth="10" defaultRowHeight="15"/>
  <cols>
    <col min="1" max="1" width="14.7109375" style="1" customWidth="1"/>
    <col min="2" max="8" width="5.7109375" style="1" customWidth="1"/>
    <col min="9" max="9" width="10.7109375" style="1"/>
    <col min="10" max="10" width="30.7109375" style="1" customWidth="1"/>
    <col min="11" max="11" width="14.7109375" style="1" customWidth="1"/>
    <col min="12" max="12" width="34.7109375" style="1" customWidth="1"/>
    <col min="13" max="17" width="5.7109375" style="1" customWidth="1"/>
    <col min="18" max="18" width="3.7109375" style="1" customWidth="1"/>
    <col min="19" max="19" width="62.7109375" style="1" customWidth="1"/>
    <col min="20" max="16384" width="10.7109375" style="1"/>
  </cols>
  <sheetData>
    <row r="1" spans="1:19" ht="22" customHeight="1">
      <c r="A1" s="2" t="s">
        <v>0</v>
      </c>
    </row>
    <row r="2" spans="1:19" ht="17" customHeight="1"/>
    <row r="3" spans="1:19" ht="17" customHeight="1" thickBot="1">
      <c r="A3" s="3" t="s">
        <v>1</v>
      </c>
      <c r="J3" s="3" t="s">
        <v>11</v>
      </c>
      <c r="S3" s="3" t="s">
        <v>51</v>
      </c>
    </row>
    <row r="4" spans="1:19" ht="17" customHeight="1">
      <c r="A4" s="4" t="s">
        <v>2</v>
      </c>
      <c r="B4" s="4" t="s">
        <v>3</v>
      </c>
      <c r="C4" s="4" t="s">
        <v>4</v>
      </c>
      <c r="D4" s="4" t="s">
        <v>5</v>
      </c>
      <c r="E4" s="4" t="s">
        <v>6</v>
      </c>
      <c r="F4" s="4" t="s">
        <v>7</v>
      </c>
      <c r="G4" s="4" t="s">
        <v>8</v>
      </c>
      <c r="H4" s="4" t="s">
        <v>9</v>
      </c>
      <c r="J4" s="1" t="s">
        <v>104</v>
      </c>
      <c r="K4" s="8" t="s">
        <v>10</v>
      </c>
      <c r="S4" s="1" t="s">
        <v>52</v>
      </c>
    </row>
    <row r="5" spans="1:19" ht="17" customHeight="1">
      <c r="A5" s="6" t="s">
        <v>79</v>
      </c>
      <c r="B5" s="7" t="s">
        <v>10</v>
      </c>
      <c r="C5" s="7" t="s">
        <v>10</v>
      </c>
      <c r="D5" s="7" t="s">
        <v>10</v>
      </c>
      <c r="E5" s="7" t="s">
        <v>10</v>
      </c>
      <c r="F5" s="7" t="s">
        <v>10</v>
      </c>
      <c r="G5" s="7" t="s">
        <v>10</v>
      </c>
      <c r="H5" s="7"/>
      <c r="J5" s="1" t="s">
        <v>105</v>
      </c>
      <c r="K5" s="8" t="s">
        <v>10</v>
      </c>
      <c r="S5" s="1" t="s">
        <v>103</v>
      </c>
    </row>
    <row r="6" spans="1:19" ht="17" customHeight="1">
      <c r="A6" s="6" t="s">
        <v>80</v>
      </c>
      <c r="B6" s="7" t="s">
        <v>10</v>
      </c>
      <c r="C6" s="7" t="s">
        <v>10</v>
      </c>
      <c r="D6" s="7" t="s">
        <v>10</v>
      </c>
      <c r="E6" s="7" t="s">
        <v>10</v>
      </c>
      <c r="F6" s="7" t="s">
        <v>10</v>
      </c>
      <c r="G6" s="7" t="s">
        <v>10</v>
      </c>
      <c r="H6" s="7"/>
      <c r="J6" s="1" t="s">
        <v>106</v>
      </c>
      <c r="K6" s="8" t="s">
        <v>115</v>
      </c>
      <c r="S6" s="1" t="s">
        <v>53</v>
      </c>
    </row>
    <row r="7" spans="1:19" ht="17" customHeight="1">
      <c r="A7" s="6" t="s">
        <v>81</v>
      </c>
      <c r="B7" s="7" t="s">
        <v>10</v>
      </c>
      <c r="C7" s="7" t="s">
        <v>10</v>
      </c>
      <c r="D7" s="7" t="s">
        <v>10</v>
      </c>
      <c r="E7" s="7" t="s">
        <v>10</v>
      </c>
      <c r="F7" s="7" t="s">
        <v>10</v>
      </c>
      <c r="G7" s="7" t="s">
        <v>10</v>
      </c>
      <c r="H7" s="7"/>
      <c r="J7" s="1" t="s">
        <v>116</v>
      </c>
      <c r="K7" s="8" t="s">
        <v>114</v>
      </c>
      <c r="S7" s="1" t="s">
        <v>54</v>
      </c>
    </row>
    <row r="8" spans="1:19" ht="17" customHeight="1">
      <c r="A8" s="6" t="s">
        <v>82</v>
      </c>
      <c r="B8" s="7" t="s">
        <v>10</v>
      </c>
      <c r="C8" s="7" t="s">
        <v>10</v>
      </c>
      <c r="D8" s="7" t="s">
        <v>10</v>
      </c>
      <c r="E8" s="7" t="s">
        <v>10</v>
      </c>
      <c r="F8" s="7" t="s">
        <v>10</v>
      </c>
      <c r="G8" s="7" t="s">
        <v>10</v>
      </c>
      <c r="H8" s="7"/>
      <c r="J8" s="10" t="s">
        <v>107</v>
      </c>
      <c r="S8" s="1" t="s">
        <v>55</v>
      </c>
    </row>
    <row r="9" spans="1:19" ht="17" customHeight="1">
      <c r="A9" s="6" t="s">
        <v>83</v>
      </c>
      <c r="B9" s="7" t="s">
        <v>10</v>
      </c>
      <c r="C9" s="7" t="s">
        <v>10</v>
      </c>
      <c r="D9" s="7" t="s">
        <v>10</v>
      </c>
      <c r="E9" s="7" t="s">
        <v>10</v>
      </c>
      <c r="F9" s="7" t="s">
        <v>10</v>
      </c>
      <c r="G9" s="7" t="s">
        <v>10</v>
      </c>
      <c r="H9" s="7"/>
      <c r="S9" s="1" t="s">
        <v>108</v>
      </c>
    </row>
    <row r="10" spans="1:19" ht="17" customHeight="1" thickBot="1">
      <c r="A10" s="6" t="s">
        <v>84</v>
      </c>
      <c r="B10" s="7" t="s">
        <v>10</v>
      </c>
      <c r="C10" s="7" t="s">
        <v>10</v>
      </c>
      <c r="D10" s="7" t="s">
        <v>10</v>
      </c>
      <c r="E10" s="7" t="s">
        <v>10</v>
      </c>
      <c r="F10" s="7" t="s">
        <v>10</v>
      </c>
      <c r="G10" s="7" t="s">
        <v>10</v>
      </c>
      <c r="H10" s="7"/>
      <c r="J10" s="3" t="s">
        <v>12</v>
      </c>
      <c r="S10" s="1" t="s">
        <v>56</v>
      </c>
    </row>
    <row r="11" spans="1:19" ht="17" customHeight="1">
      <c r="A11" s="6" t="s">
        <v>85</v>
      </c>
      <c r="B11" s="7"/>
      <c r="C11" s="7" t="s">
        <v>10</v>
      </c>
      <c r="D11" s="7"/>
      <c r="E11" s="7" t="s">
        <v>10</v>
      </c>
      <c r="F11" s="7"/>
      <c r="G11" s="7" t="s">
        <v>10</v>
      </c>
      <c r="H11" s="7"/>
      <c r="J11" s="4" t="s">
        <v>13</v>
      </c>
      <c r="K11" s="4" t="s">
        <v>14</v>
      </c>
      <c r="L11" s="4" t="s">
        <v>15</v>
      </c>
      <c r="M11" s="4" t="s">
        <v>16</v>
      </c>
      <c r="N11" s="4" t="s">
        <v>17</v>
      </c>
      <c r="O11" s="4" t="s">
        <v>18</v>
      </c>
      <c r="P11" s="4" t="s">
        <v>19</v>
      </c>
      <c r="Q11" s="4" t="s">
        <v>20</v>
      </c>
      <c r="S11" s="1" t="s">
        <v>57</v>
      </c>
    </row>
    <row r="12" spans="1:19" ht="17" customHeight="1">
      <c r="A12" s="6" t="s">
        <v>86</v>
      </c>
      <c r="B12" s="7"/>
      <c r="C12" s="7" t="s">
        <v>10</v>
      </c>
      <c r="D12" s="7"/>
      <c r="E12" s="7" t="s">
        <v>10</v>
      </c>
      <c r="F12" s="7"/>
      <c r="G12" s="7" t="s">
        <v>10</v>
      </c>
      <c r="H12" s="7"/>
      <c r="J12" s="5" t="s">
        <v>4</v>
      </c>
      <c r="K12" s="7">
        <v>4</v>
      </c>
      <c r="L12" s="7">
        <v>5</v>
      </c>
      <c r="M12" s="7">
        <v>5</v>
      </c>
      <c r="N12" s="7">
        <v>5</v>
      </c>
      <c r="O12" s="7">
        <v>5</v>
      </c>
      <c r="P12" s="7">
        <v>3</v>
      </c>
      <c r="Q12" s="7">
        <v>3</v>
      </c>
      <c r="S12" s="1" t="s">
        <v>58</v>
      </c>
    </row>
    <row r="13" spans="1:19" ht="17" customHeight="1">
      <c r="A13" s="6" t="s">
        <v>87</v>
      </c>
      <c r="B13" s="7"/>
      <c r="C13" s="7" t="s">
        <v>10</v>
      </c>
      <c r="D13" s="7"/>
      <c r="E13" s="7" t="s">
        <v>10</v>
      </c>
      <c r="F13" s="7"/>
      <c r="G13" s="7" t="s">
        <v>10</v>
      </c>
      <c r="H13" s="7"/>
      <c r="J13" s="5" t="s">
        <v>6</v>
      </c>
      <c r="K13" s="7">
        <v>5</v>
      </c>
      <c r="L13" s="7">
        <v>5</v>
      </c>
      <c r="M13" s="7">
        <v>5</v>
      </c>
      <c r="N13" s="7">
        <v>5</v>
      </c>
      <c r="O13" s="7">
        <v>4</v>
      </c>
      <c r="P13" s="7">
        <v>3</v>
      </c>
      <c r="Q13" s="7">
        <v>4</v>
      </c>
      <c r="S13" s="1" t="s">
        <v>59</v>
      </c>
    </row>
    <row r="14" spans="1:19" ht="17" customHeight="1">
      <c r="A14" s="6" t="s">
        <v>88</v>
      </c>
      <c r="B14" s="7"/>
      <c r="C14" s="7" t="s">
        <v>10</v>
      </c>
      <c r="D14" s="7"/>
      <c r="E14" s="7" t="s">
        <v>10</v>
      </c>
      <c r="F14" s="7"/>
      <c r="G14" s="7" t="s">
        <v>10</v>
      </c>
      <c r="H14" s="7"/>
      <c r="J14" s="5" t="s">
        <v>8</v>
      </c>
      <c r="K14" s="7">
        <v>3</v>
      </c>
      <c r="L14" s="7">
        <v>3</v>
      </c>
      <c r="M14" s="7">
        <v>3</v>
      </c>
      <c r="N14" s="7">
        <v>3</v>
      </c>
      <c r="O14" s="7">
        <v>3</v>
      </c>
      <c r="P14" s="7">
        <v>2</v>
      </c>
      <c r="Q14" s="7">
        <v>3</v>
      </c>
      <c r="S14" s="1" t="s">
        <v>60</v>
      </c>
    </row>
    <row r="15" spans="1:19" ht="17" customHeight="1">
      <c r="A15" s="6" t="s">
        <v>89</v>
      </c>
      <c r="B15" s="7"/>
      <c r="C15" s="7" t="s">
        <v>10</v>
      </c>
      <c r="D15" s="7"/>
      <c r="E15" s="7" t="s">
        <v>10</v>
      </c>
      <c r="F15" s="7"/>
      <c r="G15" s="7" t="s">
        <v>10</v>
      </c>
      <c r="H15" s="7"/>
      <c r="S15" s="1" t="s">
        <v>61</v>
      </c>
    </row>
    <row r="16" spans="1:19" ht="17" customHeight="1" thickBot="1">
      <c r="A16" s="6" t="s">
        <v>90</v>
      </c>
      <c r="B16" s="7"/>
      <c r="C16" s="7" t="s">
        <v>10</v>
      </c>
      <c r="D16" s="7"/>
      <c r="E16" s="7" t="s">
        <v>10</v>
      </c>
      <c r="F16" s="7"/>
      <c r="G16" s="7" t="s">
        <v>10</v>
      </c>
      <c r="H16" s="7"/>
      <c r="J16" s="3" t="s">
        <v>21</v>
      </c>
      <c r="S16" s="1" t="s">
        <v>62</v>
      </c>
    </row>
    <row r="17" spans="1:11" ht="17" customHeight="1">
      <c r="A17" s="6" t="s">
        <v>91</v>
      </c>
      <c r="B17" s="7"/>
      <c r="C17" s="7" t="s">
        <v>10</v>
      </c>
      <c r="D17" s="7"/>
      <c r="E17" s="7" t="s">
        <v>10</v>
      </c>
      <c r="F17" s="7"/>
      <c r="G17" s="7" t="s">
        <v>10</v>
      </c>
      <c r="H17" s="7"/>
      <c r="J17" s="4" t="s">
        <v>22</v>
      </c>
      <c r="K17" s="4" t="s">
        <v>23</v>
      </c>
    </row>
    <row r="18" spans="1:11" ht="17" customHeight="1">
      <c r="A18" s="6" t="s">
        <v>92</v>
      </c>
      <c r="B18" s="7"/>
      <c r="C18" s="7" t="s">
        <v>10</v>
      </c>
      <c r="D18" s="7"/>
      <c r="E18" s="7" t="s">
        <v>10</v>
      </c>
      <c r="F18" s="7"/>
      <c r="G18" s="7" t="s">
        <v>10</v>
      </c>
      <c r="H18" s="7"/>
      <c r="J18" s="5">
        <v>1001</v>
      </c>
      <c r="K18" s="7" t="s">
        <v>24</v>
      </c>
    </row>
    <row r="19" spans="1:11" ht="17" customHeight="1">
      <c r="A19" s="6" t="s">
        <v>93</v>
      </c>
      <c r="B19" s="7"/>
      <c r="C19" s="7" t="s">
        <v>10</v>
      </c>
      <c r="D19" s="7"/>
      <c r="E19" s="7" t="s">
        <v>10</v>
      </c>
      <c r="F19" s="7"/>
      <c r="G19" s="7" t="s">
        <v>10</v>
      </c>
      <c r="H19" s="7"/>
      <c r="J19" s="5">
        <v>1002</v>
      </c>
      <c r="K19" s="7" t="s">
        <v>24</v>
      </c>
    </row>
    <row r="20" spans="1:11" ht="17" customHeight="1">
      <c r="A20" s="6" t="s">
        <v>94</v>
      </c>
      <c r="B20" s="7"/>
      <c r="C20" s="7" t="s">
        <v>10</v>
      </c>
      <c r="D20" s="7"/>
      <c r="E20" s="7" t="s">
        <v>10</v>
      </c>
      <c r="F20" s="7"/>
      <c r="G20" s="7" t="s">
        <v>10</v>
      </c>
      <c r="H20" s="7"/>
      <c r="J20" s="5">
        <v>1003</v>
      </c>
      <c r="K20" s="7" t="s">
        <v>24</v>
      </c>
    </row>
    <row r="21" spans="1:11" ht="17" customHeight="1">
      <c r="A21" s="6" t="s">
        <v>95</v>
      </c>
      <c r="B21" s="7"/>
      <c r="C21" s="7" t="s">
        <v>10</v>
      </c>
      <c r="D21" s="7"/>
      <c r="E21" s="7" t="s">
        <v>10</v>
      </c>
      <c r="F21" s="7"/>
      <c r="G21" s="7" t="s">
        <v>10</v>
      </c>
      <c r="H21" s="7"/>
      <c r="J21" s="5">
        <v>1004</v>
      </c>
      <c r="K21" s="7" t="s">
        <v>24</v>
      </c>
    </row>
    <row r="22" spans="1:11" ht="17" customHeight="1">
      <c r="A22" s="6" t="s">
        <v>96</v>
      </c>
      <c r="B22" s="7"/>
      <c r="C22" s="7" t="s">
        <v>10</v>
      </c>
      <c r="D22" s="7"/>
      <c r="E22" s="7" t="s">
        <v>10</v>
      </c>
      <c r="F22" s="7"/>
      <c r="G22" s="7" t="s">
        <v>10</v>
      </c>
      <c r="H22" s="7"/>
      <c r="J22" s="5">
        <v>1005</v>
      </c>
      <c r="K22" s="7" t="s">
        <v>24</v>
      </c>
    </row>
    <row r="23" spans="1:11" ht="17" customHeight="1">
      <c r="J23" s="5">
        <v>1006</v>
      </c>
      <c r="K23" s="7" t="s">
        <v>24</v>
      </c>
    </row>
    <row r="24" spans="1:11" ht="17" customHeight="1">
      <c r="J24" s="5">
        <v>1007</v>
      </c>
      <c r="K24" s="7" t="s">
        <v>25</v>
      </c>
    </row>
    <row r="25" spans="1:11" ht="17" customHeight="1">
      <c r="J25" s="5">
        <v>1008</v>
      </c>
      <c r="K25" s="7" t="s">
        <v>25</v>
      </c>
    </row>
    <row r="26" spans="1:11" ht="17" customHeight="1">
      <c r="J26" s="5">
        <v>1009</v>
      </c>
      <c r="K26" s="7" t="s">
        <v>26</v>
      </c>
    </row>
    <row r="27" spans="1:11" ht="17" customHeight="1">
      <c r="J27" s="5">
        <v>1010</v>
      </c>
      <c r="K27" s="7" t="s">
        <v>25</v>
      </c>
    </row>
    <row r="28" spans="1:11" ht="17" customHeight="1">
      <c r="J28" s="5">
        <v>1011</v>
      </c>
      <c r="K28" s="7" t="s">
        <v>25</v>
      </c>
    </row>
    <row r="29" spans="1:11" ht="17" customHeight="1">
      <c r="J29" s="5">
        <v>1012</v>
      </c>
      <c r="K29" s="7" t="s">
        <v>25</v>
      </c>
    </row>
    <row r="30" spans="1:11" ht="17" customHeight="1">
      <c r="J30" s="5">
        <v>1014</v>
      </c>
      <c r="K30" s="7" t="s">
        <v>24</v>
      </c>
    </row>
    <row r="31" spans="1:11" ht="17" customHeight="1"/>
    <row r="32" spans="1:11" ht="17" customHeight="1"/>
    <row r="33" spans="10:12" ht="17" customHeight="1" thickBot="1">
      <c r="J33" s="3" t="s">
        <v>27</v>
      </c>
    </row>
    <row r="34" spans="10:12" ht="17" customHeight="1">
      <c r="J34" s="4" t="s">
        <v>28</v>
      </c>
      <c r="K34" s="4" t="s">
        <v>29</v>
      </c>
      <c r="L34" s="4" t="s">
        <v>30</v>
      </c>
    </row>
    <row r="35" spans="10:12" ht="17" customHeight="1">
      <c r="J35" s="7" t="s">
        <v>31</v>
      </c>
      <c r="K35" s="7" t="s">
        <v>32</v>
      </c>
      <c r="L35" s="5" t="s">
        <v>33</v>
      </c>
    </row>
    <row r="36" spans="10:12" ht="17" customHeight="1">
      <c r="J36" s="7" t="s">
        <v>31</v>
      </c>
      <c r="K36" s="7" t="s">
        <v>34</v>
      </c>
      <c r="L36" s="5" t="s">
        <v>35</v>
      </c>
    </row>
    <row r="37" spans="10:12" ht="17" customHeight="1">
      <c r="J37" s="7" t="s">
        <v>31</v>
      </c>
      <c r="K37" s="7" t="s">
        <v>36</v>
      </c>
      <c r="L37" s="5" t="s">
        <v>37</v>
      </c>
    </row>
    <row r="38" spans="10:12" ht="17" customHeight="1">
      <c r="J38" s="7" t="s">
        <v>31</v>
      </c>
      <c r="K38" s="7" t="s">
        <v>38</v>
      </c>
      <c r="L38" s="5" t="s">
        <v>39</v>
      </c>
    </row>
    <row r="39" spans="10:12" ht="17" customHeight="1">
      <c r="J39" s="7" t="s">
        <v>31</v>
      </c>
      <c r="K39" s="7" t="s">
        <v>4</v>
      </c>
      <c r="L39" s="5" t="s">
        <v>40</v>
      </c>
    </row>
    <row r="40" spans="10:12" ht="17" customHeight="1">
      <c r="J40" s="7" t="s">
        <v>41</v>
      </c>
      <c r="K40" s="7" t="s">
        <v>32</v>
      </c>
      <c r="L40" s="5" t="s">
        <v>42</v>
      </c>
    </row>
    <row r="41" spans="10:12" ht="17" customHeight="1">
      <c r="J41" s="7" t="s">
        <v>41</v>
      </c>
      <c r="K41" s="7" t="s">
        <v>34</v>
      </c>
      <c r="L41" s="5" t="s">
        <v>43</v>
      </c>
    </row>
    <row r="42" spans="10:12" ht="17" customHeight="1">
      <c r="J42" s="7" t="s">
        <v>41</v>
      </c>
      <c r="K42" s="7" t="s">
        <v>36</v>
      </c>
      <c r="L42" s="5" t="s">
        <v>44</v>
      </c>
    </row>
    <row r="43" spans="10:12" ht="17" customHeight="1">
      <c r="J43" s="7" t="s">
        <v>41</v>
      </c>
      <c r="K43" s="7" t="s">
        <v>38</v>
      </c>
      <c r="L43" s="5" t="s">
        <v>45</v>
      </c>
    </row>
    <row r="44" spans="10:12" ht="17" customHeight="1">
      <c r="J44" s="7" t="s">
        <v>46</v>
      </c>
      <c r="K44" s="7" t="s">
        <v>32</v>
      </c>
      <c r="L44" s="5" t="s">
        <v>47</v>
      </c>
    </row>
    <row r="45" spans="10:12" ht="17" customHeight="1">
      <c r="J45" s="7" t="s">
        <v>46</v>
      </c>
      <c r="K45" s="7" t="s">
        <v>34</v>
      </c>
      <c r="L45" s="5" t="s">
        <v>48</v>
      </c>
    </row>
    <row r="46" spans="10:12" ht="17" customHeight="1">
      <c r="J46" s="7" t="s">
        <v>46</v>
      </c>
      <c r="K46" s="7" t="s">
        <v>36</v>
      </c>
      <c r="L46" s="5" t="s">
        <v>49</v>
      </c>
    </row>
    <row r="47" spans="10:12" ht="17" customHeight="1">
      <c r="J47" s="7" t="s">
        <v>50</v>
      </c>
      <c r="K47" s="7" t="s">
        <v>32</v>
      </c>
      <c r="L47" s="5"/>
    </row>
    <row r="48" spans="10:12" ht="17" customHeight="1">
      <c r="J48" s="7" t="s">
        <v>50</v>
      </c>
      <c r="K48" s="7" t="s">
        <v>34</v>
      </c>
      <c r="L48" s="5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Button 3">
              <controlPr defaultSize="0" print="0" autoFill="0" autoPict="0" macro="[0]!근무표생성">
                <anchor moveWithCells="1" sizeWithCells="1">
                  <from>
                    <xdr:col>9</xdr:col>
                    <xdr:colOff>0</xdr:colOff>
                    <xdr:row>0</xdr:row>
                    <xdr:rowOff>25400</xdr:rowOff>
                  </from>
                  <to>
                    <xdr:col>9</xdr:col>
                    <xdr:colOff>1397000</xdr:colOff>
                    <xdr:row>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어싸인배정_최신">
                <anchor moveWithCells="1" sizeWithCells="1">
                  <from>
                    <xdr:col>9</xdr:col>
                    <xdr:colOff>1498600</xdr:colOff>
                    <xdr:row>0</xdr:row>
                    <xdr:rowOff>25400</xdr:rowOff>
                  </from>
                  <to>
                    <xdr:col>10</xdr:col>
                    <xdr:colOff>419100</xdr:colOff>
                    <xdr:row>1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63890-5CEB-E745-A21F-DB439896CEFC}">
  <sheetPr codeName="Sheet4"/>
  <dimension ref="A1:AF21"/>
  <sheetViews>
    <sheetView showGridLines="0" zoomScale="17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baseColWidth="10" defaultRowHeight="15"/>
  <cols>
    <col min="1" max="1" width="12.7109375" style="1" customWidth="1"/>
    <col min="2" max="32" width="6.28515625" style="1" customWidth="1"/>
    <col min="33" max="16384" width="10.7109375" style="1"/>
  </cols>
  <sheetData>
    <row r="1" spans="1:32" ht="22" customHeight="1">
      <c r="A1" s="9" t="s">
        <v>97</v>
      </c>
    </row>
    <row r="2" spans="1:32">
      <c r="A2" s="10" t="s">
        <v>98</v>
      </c>
    </row>
    <row r="3" spans="1:32" ht="18" customHeight="1">
      <c r="A3" s="23" t="s">
        <v>2</v>
      </c>
      <c r="B3" s="4">
        <v>1</v>
      </c>
      <c r="C3" s="4">
        <v>2</v>
      </c>
      <c r="D3" s="4">
        <v>3</v>
      </c>
      <c r="E3" s="4">
        <v>4</v>
      </c>
      <c r="F3" s="4">
        <v>5</v>
      </c>
      <c r="G3" s="4">
        <v>6</v>
      </c>
      <c r="H3" s="4">
        <v>7</v>
      </c>
      <c r="I3" s="4">
        <v>8</v>
      </c>
      <c r="J3" s="4">
        <v>9</v>
      </c>
      <c r="K3" s="4">
        <v>10</v>
      </c>
      <c r="L3" s="4">
        <v>11</v>
      </c>
      <c r="M3" s="4">
        <v>12</v>
      </c>
      <c r="N3" s="4">
        <v>13</v>
      </c>
      <c r="O3" s="4">
        <v>14</v>
      </c>
      <c r="P3" s="4">
        <v>15</v>
      </c>
      <c r="Q3" s="4">
        <v>16</v>
      </c>
      <c r="R3" s="4">
        <v>17</v>
      </c>
      <c r="S3" s="4">
        <v>18</v>
      </c>
      <c r="T3" s="4">
        <v>19</v>
      </c>
      <c r="U3" s="4">
        <v>20</v>
      </c>
      <c r="V3" s="4">
        <v>21</v>
      </c>
      <c r="W3" s="4">
        <v>22</v>
      </c>
      <c r="X3" s="4">
        <v>23</v>
      </c>
      <c r="Y3" s="4">
        <v>24</v>
      </c>
      <c r="Z3" s="4">
        <v>25</v>
      </c>
      <c r="AA3" s="4">
        <v>26</v>
      </c>
      <c r="AB3" s="4">
        <v>27</v>
      </c>
      <c r="AC3" s="4">
        <v>28</v>
      </c>
      <c r="AD3" s="4">
        <v>29</v>
      </c>
      <c r="AE3" s="4">
        <v>30</v>
      </c>
      <c r="AF3" s="4">
        <v>31</v>
      </c>
    </row>
    <row r="4" spans="1:32" ht="18" customHeight="1">
      <c r="A4" s="6" t="s">
        <v>79</v>
      </c>
      <c r="B4" s="24" t="s">
        <v>3</v>
      </c>
      <c r="C4" s="24" t="s">
        <v>3</v>
      </c>
      <c r="D4" s="24" t="s">
        <v>3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</row>
    <row r="5" spans="1:32" ht="18" customHeight="1">
      <c r="A5" s="6" t="s">
        <v>80</v>
      </c>
      <c r="B5" s="25" t="s">
        <v>76</v>
      </c>
      <c r="C5" s="7"/>
      <c r="D5" s="24" t="s">
        <v>76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</row>
    <row r="6" spans="1:32" ht="18" customHeight="1">
      <c r="A6" s="6" t="s">
        <v>81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</row>
    <row r="7" spans="1:32" ht="18" customHeight="1">
      <c r="A7" s="6" t="s">
        <v>82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</row>
    <row r="8" spans="1:32" ht="18" customHeight="1">
      <c r="A8" s="6" t="s">
        <v>83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</row>
    <row r="9" spans="1:32" ht="18" customHeight="1">
      <c r="A9" s="6" t="s">
        <v>84</v>
      </c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</row>
    <row r="10" spans="1:32" ht="18" customHeight="1">
      <c r="A10" s="6" t="s">
        <v>85</v>
      </c>
      <c r="B10" s="24" t="s">
        <v>77</v>
      </c>
      <c r="C10" s="24" t="s">
        <v>77</v>
      </c>
      <c r="D10" s="24" t="s">
        <v>77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</row>
    <row r="11" spans="1:32" ht="18" customHeight="1">
      <c r="A11" s="6" t="s">
        <v>86</v>
      </c>
      <c r="B11" s="7"/>
      <c r="C11" s="24" t="s">
        <v>76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</row>
    <row r="12" spans="1:32" ht="18" customHeight="1">
      <c r="A12" s="6" t="s">
        <v>87</v>
      </c>
      <c r="B12" s="7"/>
      <c r="C12" s="7"/>
      <c r="D12" s="24" t="s">
        <v>71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</row>
    <row r="13" spans="1:32" ht="18" customHeight="1">
      <c r="A13" s="6" t="s">
        <v>88</v>
      </c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</row>
    <row r="14" spans="1:32" ht="18" customHeight="1">
      <c r="A14" s="6" t="s">
        <v>89</v>
      </c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</row>
    <row r="15" spans="1:32" ht="18" customHeight="1">
      <c r="A15" s="6" t="s">
        <v>90</v>
      </c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</row>
    <row r="16" spans="1:32" ht="18" customHeight="1">
      <c r="A16" s="6" t="s">
        <v>91</v>
      </c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</row>
    <row r="17" spans="1:32" ht="18" customHeight="1">
      <c r="A17" s="6" t="s">
        <v>92</v>
      </c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</row>
    <row r="18" spans="1:32" ht="18" customHeight="1">
      <c r="A18" s="6" t="s">
        <v>93</v>
      </c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</row>
    <row r="19" spans="1:32" ht="18" customHeight="1">
      <c r="A19" s="6" t="s">
        <v>94</v>
      </c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</row>
    <row r="20" spans="1:32" ht="18" customHeight="1">
      <c r="A20" s="6" t="s">
        <v>95</v>
      </c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</row>
    <row r="21" spans="1:32" ht="18" customHeight="1">
      <c r="A21" s="6" t="s">
        <v>96</v>
      </c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DA0B0-5E28-074D-8F85-803C9D877A94}">
  <sheetPr codeName="Sheet5"/>
  <dimension ref="A1:E12"/>
  <sheetViews>
    <sheetView showGridLines="0" workbookViewId="0">
      <pane ySplit="2" topLeftCell="A3" activePane="bottomLeft" state="frozen"/>
      <selection pane="bottomLeft" activeCell="A3" sqref="A3"/>
    </sheetView>
  </sheetViews>
  <sheetFormatPr baseColWidth="10" defaultRowHeight="15"/>
  <cols>
    <col min="1" max="1" width="6.7109375" style="1" customWidth="1"/>
    <col min="2" max="3" width="8.7109375" style="1" customWidth="1"/>
    <col min="4" max="4" width="12.7109375" style="1" customWidth="1"/>
    <col min="5" max="5" width="34.7109375" style="1" customWidth="1"/>
    <col min="6" max="16384" width="10.7109375" style="1"/>
  </cols>
  <sheetData>
    <row r="1" spans="1:5" ht="22" customHeight="1">
      <c r="A1" s="9" t="s">
        <v>99</v>
      </c>
    </row>
    <row r="2" spans="1:5">
      <c r="A2" s="4" t="s">
        <v>72</v>
      </c>
      <c r="B2" s="4" t="s">
        <v>73</v>
      </c>
      <c r="C2" s="4" t="s">
        <v>29</v>
      </c>
      <c r="D2" s="4" t="s">
        <v>74</v>
      </c>
      <c r="E2" s="4" t="s">
        <v>75</v>
      </c>
    </row>
    <row r="3" spans="1:5">
      <c r="A3" s="7">
        <v>1</v>
      </c>
      <c r="B3" s="7" t="s">
        <v>4</v>
      </c>
      <c r="C3" s="7" t="s">
        <v>32</v>
      </c>
      <c r="D3" s="6" t="s">
        <v>79</v>
      </c>
      <c r="E3" s="6" t="s">
        <v>100</v>
      </c>
    </row>
    <row r="4" spans="1:5">
      <c r="A4" s="7">
        <v>1</v>
      </c>
      <c r="B4" s="7" t="s">
        <v>4</v>
      </c>
      <c r="C4" s="7" t="s">
        <v>34</v>
      </c>
      <c r="D4" s="6" t="s">
        <v>80</v>
      </c>
      <c r="E4" s="6" t="s">
        <v>101</v>
      </c>
    </row>
    <row r="5" spans="1:5">
      <c r="A5" s="7">
        <v>1</v>
      </c>
      <c r="B5" s="7" t="s">
        <v>4</v>
      </c>
      <c r="C5" s="7" t="s">
        <v>36</v>
      </c>
      <c r="D5" s="6" t="s">
        <v>85</v>
      </c>
      <c r="E5" s="6" t="s">
        <v>102</v>
      </c>
    </row>
    <row r="6" spans="1:5">
      <c r="A6" s="16">
        <v>2</v>
      </c>
      <c r="B6" s="16" t="s">
        <v>4</v>
      </c>
      <c r="C6" s="16" t="s">
        <v>32</v>
      </c>
      <c r="D6" s="26" t="s">
        <v>79</v>
      </c>
      <c r="E6" s="26" t="s">
        <v>100</v>
      </c>
    </row>
    <row r="7" spans="1:5">
      <c r="A7" s="16">
        <v>2</v>
      </c>
      <c r="B7" s="16" t="s">
        <v>4</v>
      </c>
      <c r="C7" s="16" t="s">
        <v>34</v>
      </c>
      <c r="D7" s="26" t="s">
        <v>86</v>
      </c>
      <c r="E7" s="26" t="s">
        <v>101</v>
      </c>
    </row>
    <row r="8" spans="1:5">
      <c r="A8" s="16">
        <v>2</v>
      </c>
      <c r="B8" s="16" t="s">
        <v>4</v>
      </c>
      <c r="C8" s="16" t="s">
        <v>36</v>
      </c>
      <c r="D8" s="26" t="s">
        <v>85</v>
      </c>
      <c r="E8" s="26" t="s">
        <v>102</v>
      </c>
    </row>
    <row r="9" spans="1:5">
      <c r="A9" s="7">
        <v>3</v>
      </c>
      <c r="B9" s="7" t="s">
        <v>4</v>
      </c>
      <c r="C9" s="7" t="s">
        <v>32</v>
      </c>
      <c r="D9" s="6" t="s">
        <v>79</v>
      </c>
      <c r="E9" s="6" t="s">
        <v>110</v>
      </c>
    </row>
    <row r="10" spans="1:5">
      <c r="A10" s="7">
        <v>3</v>
      </c>
      <c r="B10" s="7" t="s">
        <v>4</v>
      </c>
      <c r="C10" s="7" t="s">
        <v>34</v>
      </c>
      <c r="D10" s="6" t="s">
        <v>80</v>
      </c>
      <c r="E10" s="6" t="s">
        <v>111</v>
      </c>
    </row>
    <row r="11" spans="1:5">
      <c r="A11" s="7">
        <v>3</v>
      </c>
      <c r="B11" s="7" t="s">
        <v>4</v>
      </c>
      <c r="C11" s="7" t="s">
        <v>36</v>
      </c>
      <c r="D11" s="6" t="s">
        <v>85</v>
      </c>
      <c r="E11" s="6" t="s">
        <v>112</v>
      </c>
    </row>
    <row r="12" spans="1:5">
      <c r="A12" s="7">
        <v>3</v>
      </c>
      <c r="B12" s="7" t="s">
        <v>4</v>
      </c>
      <c r="C12" s="7" t="s">
        <v>38</v>
      </c>
      <c r="D12" s="6" t="s">
        <v>87</v>
      </c>
      <c r="E12" s="6" t="s">
        <v>113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70FCD-B16D-EA4B-A4F6-89A3AA08ABF9}">
  <dimension ref="A1:AF28"/>
  <sheetViews>
    <sheetView showGridLines="0" tabSelected="1" zoomScale="136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6" sqref="D6"/>
    </sheetView>
  </sheetViews>
  <sheetFormatPr baseColWidth="10" defaultRowHeight="15"/>
  <cols>
    <col min="1" max="1" width="12.7109375" style="1" customWidth="1"/>
    <col min="2" max="32" width="5.28515625" style="1" customWidth="1"/>
    <col min="33" max="16384" width="10.7109375" style="1"/>
  </cols>
  <sheetData>
    <row r="1" spans="1:32" ht="22" customHeight="1">
      <c r="A1" s="9" t="s">
        <v>63</v>
      </c>
    </row>
    <row r="2" spans="1:32">
      <c r="A2" s="10" t="s">
        <v>64</v>
      </c>
    </row>
    <row r="3" spans="1:32" ht="17" customHeight="1">
      <c r="A3" s="11" t="s">
        <v>2</v>
      </c>
      <c r="B3" s="12">
        <v>1</v>
      </c>
      <c r="C3" s="12">
        <v>2</v>
      </c>
      <c r="D3" s="12">
        <v>3</v>
      </c>
      <c r="E3" s="12">
        <v>4</v>
      </c>
      <c r="F3" s="12">
        <v>5</v>
      </c>
      <c r="G3" s="12">
        <v>6</v>
      </c>
      <c r="H3" s="12">
        <v>7</v>
      </c>
      <c r="I3" s="12">
        <v>8</v>
      </c>
      <c r="J3" s="12">
        <v>9</v>
      </c>
      <c r="K3" s="12">
        <v>10</v>
      </c>
      <c r="L3" s="12">
        <v>11</v>
      </c>
      <c r="M3" s="12">
        <v>12</v>
      </c>
      <c r="N3" s="12">
        <v>13</v>
      </c>
      <c r="O3" s="12">
        <v>14</v>
      </c>
      <c r="P3" s="12">
        <v>15</v>
      </c>
      <c r="Q3" s="12">
        <v>16</v>
      </c>
      <c r="R3" s="12">
        <v>17</v>
      </c>
      <c r="S3" s="12">
        <v>18</v>
      </c>
      <c r="T3" s="12">
        <v>19</v>
      </c>
      <c r="U3" s="12">
        <v>20</v>
      </c>
      <c r="V3" s="12">
        <v>21</v>
      </c>
      <c r="W3" s="12">
        <v>22</v>
      </c>
      <c r="X3" s="12">
        <v>23</v>
      </c>
      <c r="Y3" s="12">
        <v>24</v>
      </c>
      <c r="Z3" s="12">
        <v>25</v>
      </c>
      <c r="AA3" s="12">
        <v>26</v>
      </c>
      <c r="AB3" s="12">
        <v>27</v>
      </c>
      <c r="AC3" s="12">
        <v>28</v>
      </c>
      <c r="AD3" s="12">
        <v>29</v>
      </c>
      <c r="AE3" s="12">
        <v>30</v>
      </c>
      <c r="AF3" s="12">
        <v>31</v>
      </c>
    </row>
    <row r="4" spans="1:32" ht="17" customHeight="1">
      <c r="A4" s="12"/>
      <c r="B4" s="13" t="s">
        <v>19</v>
      </c>
      <c r="C4" s="14" t="s">
        <v>20</v>
      </c>
      <c r="D4" s="12" t="s">
        <v>14</v>
      </c>
      <c r="E4" s="12" t="s">
        <v>15</v>
      </c>
      <c r="F4" s="12" t="s">
        <v>16</v>
      </c>
      <c r="G4" s="12" t="s">
        <v>17</v>
      </c>
      <c r="H4" s="12" t="s">
        <v>18</v>
      </c>
      <c r="I4" s="13" t="s">
        <v>19</v>
      </c>
      <c r="J4" s="14" t="s">
        <v>20</v>
      </c>
      <c r="K4" s="12" t="s">
        <v>14</v>
      </c>
      <c r="L4" s="12" t="s">
        <v>15</v>
      </c>
      <c r="M4" s="12" t="s">
        <v>16</v>
      </c>
      <c r="N4" s="12" t="s">
        <v>17</v>
      </c>
      <c r="O4" s="12" t="s">
        <v>18</v>
      </c>
      <c r="P4" s="13" t="s">
        <v>19</v>
      </c>
      <c r="Q4" s="14" t="s">
        <v>20</v>
      </c>
      <c r="R4" s="12" t="s">
        <v>14</v>
      </c>
      <c r="S4" s="12" t="s">
        <v>15</v>
      </c>
      <c r="T4" s="12" t="s">
        <v>16</v>
      </c>
      <c r="U4" s="12" t="s">
        <v>17</v>
      </c>
      <c r="V4" s="12" t="s">
        <v>18</v>
      </c>
      <c r="W4" s="13" t="s">
        <v>19</v>
      </c>
      <c r="X4" s="14" t="s">
        <v>20</v>
      </c>
      <c r="Y4" s="12" t="s">
        <v>14</v>
      </c>
      <c r="Z4" s="12" t="s">
        <v>15</v>
      </c>
      <c r="AA4" s="12" t="s">
        <v>16</v>
      </c>
      <c r="AB4" s="12" t="s">
        <v>17</v>
      </c>
      <c r="AC4" s="12" t="s">
        <v>18</v>
      </c>
      <c r="AD4" s="13" t="s">
        <v>19</v>
      </c>
      <c r="AE4" s="14" t="s">
        <v>20</v>
      </c>
      <c r="AF4" s="12" t="s">
        <v>14</v>
      </c>
    </row>
    <row r="5" spans="1:32" ht="17" customHeight="1">
      <c r="A5" s="6" t="s">
        <v>79</v>
      </c>
      <c r="B5" s="7" t="s">
        <v>78</v>
      </c>
      <c r="C5" s="7" t="s">
        <v>78</v>
      </c>
      <c r="D5" s="7" t="s">
        <v>78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</row>
    <row r="6" spans="1:32" ht="17" customHeight="1">
      <c r="A6" s="6" t="s">
        <v>80</v>
      </c>
      <c r="B6" s="7" t="s">
        <v>76</v>
      </c>
      <c r="C6" s="7" t="s">
        <v>109</v>
      </c>
      <c r="D6" s="7" t="s">
        <v>4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</row>
    <row r="7" spans="1:32" ht="17" customHeight="1">
      <c r="A7" s="6" t="s">
        <v>81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</row>
    <row r="8" spans="1:32" ht="17" customHeight="1">
      <c r="A8" s="6" t="s">
        <v>82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</row>
    <row r="9" spans="1:32" ht="17" customHeight="1">
      <c r="A9" s="6" t="s">
        <v>83</v>
      </c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</row>
    <row r="10" spans="1:32" ht="17" customHeight="1">
      <c r="A10" s="6" t="s">
        <v>84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</row>
    <row r="11" spans="1:32" ht="17" customHeight="1">
      <c r="A11" s="6" t="s">
        <v>85</v>
      </c>
      <c r="B11" s="7" t="s">
        <v>4</v>
      </c>
      <c r="C11" s="7" t="s">
        <v>4</v>
      </c>
      <c r="D11" s="7" t="s">
        <v>4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</row>
    <row r="12" spans="1:32" ht="17" customHeight="1">
      <c r="A12" s="6" t="s">
        <v>86</v>
      </c>
      <c r="B12" s="7"/>
      <c r="C12" s="7" t="s">
        <v>4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</row>
    <row r="13" spans="1:32" ht="17" customHeight="1">
      <c r="A13" s="6" t="s">
        <v>87</v>
      </c>
      <c r="B13" s="7"/>
      <c r="C13" s="7"/>
      <c r="D13" s="7" t="s">
        <v>4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</row>
    <row r="14" spans="1:32" ht="17" customHeight="1">
      <c r="A14" s="6" t="s">
        <v>88</v>
      </c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</row>
    <row r="15" spans="1:32" ht="17" customHeight="1">
      <c r="A15" s="6" t="s">
        <v>89</v>
      </c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</row>
    <row r="16" spans="1:32" ht="17" customHeight="1">
      <c r="A16" s="6" t="s">
        <v>90</v>
      </c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</row>
    <row r="17" spans="1:32" ht="17" customHeight="1">
      <c r="A17" s="6" t="s">
        <v>91</v>
      </c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</row>
    <row r="18" spans="1:32" ht="17" customHeight="1">
      <c r="A18" s="6" t="s">
        <v>92</v>
      </c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</row>
    <row r="19" spans="1:32" ht="17" customHeight="1">
      <c r="A19" s="6" t="s">
        <v>93</v>
      </c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</row>
    <row r="20" spans="1:32" ht="17" customHeight="1">
      <c r="A20" s="6" t="s">
        <v>94</v>
      </c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</row>
    <row r="21" spans="1:32" ht="17" customHeight="1">
      <c r="A21" s="6" t="s">
        <v>95</v>
      </c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</row>
    <row r="22" spans="1:32" ht="17" customHeight="1" thickBot="1">
      <c r="A22" s="17" t="s">
        <v>96</v>
      </c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</row>
    <row r="23" spans="1:32" ht="17" customHeight="1">
      <c r="A23" s="21" t="s">
        <v>65</v>
      </c>
      <c r="B23" s="22">
        <f>SUMPRODUCT(--(LEFT(B5:B22,1)="D"))</f>
        <v>3</v>
      </c>
      <c r="C23" s="22">
        <f>SUMPRODUCT(--(LEFT(C5:C22,1)="D"))</f>
        <v>3</v>
      </c>
      <c r="D23" s="22">
        <f>SUMPRODUCT(--(LEFT(D5:D22,1)="D"))</f>
        <v>4</v>
      </c>
      <c r="E23" s="22">
        <f>SUMPRODUCT(--(LEFT(E5:E22,1)="D"))</f>
        <v>0</v>
      </c>
      <c r="F23" s="22">
        <f>SUMPRODUCT(--(LEFT(F5:F22,1)="D"))</f>
        <v>0</v>
      </c>
      <c r="G23" s="22">
        <f>SUMPRODUCT(--(LEFT(G5:G22,1)="D"))</f>
        <v>0</v>
      </c>
      <c r="H23" s="22">
        <f>SUMPRODUCT(--(LEFT(H5:H22,1)="D"))</f>
        <v>0</v>
      </c>
      <c r="I23" s="22">
        <f>SUMPRODUCT(--(LEFT(I5:I22,1)="D"))</f>
        <v>0</v>
      </c>
      <c r="J23" s="22">
        <f>SUMPRODUCT(--(LEFT(J5:J22,1)="D"))</f>
        <v>0</v>
      </c>
      <c r="K23" s="22">
        <f>SUMPRODUCT(--(LEFT(K5:K22,1)="D"))</f>
        <v>0</v>
      </c>
      <c r="L23" s="22">
        <f>SUMPRODUCT(--(LEFT(L5:L22,1)="D"))</f>
        <v>0</v>
      </c>
      <c r="M23" s="22">
        <f>SUMPRODUCT(--(LEFT(M5:M22,1)="D"))</f>
        <v>0</v>
      </c>
      <c r="N23" s="22">
        <f>SUMPRODUCT(--(LEFT(N5:N22,1)="D"))</f>
        <v>0</v>
      </c>
      <c r="O23" s="22">
        <f>SUMPRODUCT(--(LEFT(O5:O22,1)="D"))</f>
        <v>0</v>
      </c>
      <c r="P23" s="22">
        <f>SUMPRODUCT(--(LEFT(P5:P22,1)="D"))</f>
        <v>0</v>
      </c>
      <c r="Q23" s="22">
        <f>SUMPRODUCT(--(LEFT(Q5:Q22,1)="D"))</f>
        <v>0</v>
      </c>
      <c r="R23" s="22">
        <f>SUMPRODUCT(--(LEFT(R5:R22,1)="D"))</f>
        <v>0</v>
      </c>
      <c r="S23" s="22">
        <f>SUMPRODUCT(--(LEFT(S5:S22,1)="D"))</f>
        <v>0</v>
      </c>
      <c r="T23" s="22">
        <f>SUMPRODUCT(--(LEFT(T5:T22,1)="D"))</f>
        <v>0</v>
      </c>
      <c r="U23" s="22">
        <f>SUMPRODUCT(--(LEFT(U5:U22,1)="D"))</f>
        <v>0</v>
      </c>
      <c r="V23" s="22">
        <f>SUMPRODUCT(--(LEFT(V5:V22,1)="D"))</f>
        <v>0</v>
      </c>
      <c r="W23" s="22">
        <f>SUMPRODUCT(--(LEFT(W5:W22,1)="D"))</f>
        <v>0</v>
      </c>
      <c r="X23" s="22">
        <f>SUMPRODUCT(--(LEFT(X5:X22,1)="D"))</f>
        <v>0</v>
      </c>
      <c r="Y23" s="22">
        <f>SUMPRODUCT(--(LEFT(Y5:Y22,1)="D"))</f>
        <v>0</v>
      </c>
      <c r="Z23" s="22">
        <f>SUMPRODUCT(--(LEFT(Z5:Z22,1)="D"))</f>
        <v>0</v>
      </c>
      <c r="AA23" s="22">
        <f>SUMPRODUCT(--(LEFT(AA5:AA22,1)="D"))</f>
        <v>0</v>
      </c>
      <c r="AB23" s="22">
        <f>SUMPRODUCT(--(LEFT(AB5:AB22,1)="D"))</f>
        <v>0</v>
      </c>
      <c r="AC23" s="22">
        <f>SUMPRODUCT(--(LEFT(AC5:AC22,1)="D"))</f>
        <v>0</v>
      </c>
      <c r="AD23" s="22">
        <f>SUMPRODUCT(--(LEFT(AD5:AD22,1)="D"))</f>
        <v>0</v>
      </c>
      <c r="AE23" s="22">
        <f>SUMPRODUCT(--(LEFT(AE5:AE22,1)="D"))</f>
        <v>0</v>
      </c>
      <c r="AF23" s="22">
        <f>SUMPRODUCT(--(LEFT(AF5:AF22,1)="D"))</f>
        <v>0</v>
      </c>
    </row>
    <row r="24" spans="1:32" ht="17" customHeight="1">
      <c r="A24" s="19" t="s">
        <v>66</v>
      </c>
      <c r="B24" s="20">
        <v>3</v>
      </c>
      <c r="C24" s="20">
        <v>3</v>
      </c>
      <c r="D24" s="20">
        <v>4</v>
      </c>
      <c r="E24" s="20">
        <v>5</v>
      </c>
      <c r="F24" s="20">
        <v>5</v>
      </c>
      <c r="G24" s="20">
        <v>5</v>
      </c>
      <c r="H24" s="20">
        <v>5</v>
      </c>
      <c r="I24" s="20">
        <v>3</v>
      </c>
      <c r="J24" s="20">
        <v>3</v>
      </c>
      <c r="K24" s="20">
        <v>4</v>
      </c>
      <c r="L24" s="20">
        <v>5</v>
      </c>
      <c r="M24" s="20">
        <v>5</v>
      </c>
      <c r="N24" s="20">
        <v>5</v>
      </c>
      <c r="O24" s="20">
        <v>5</v>
      </c>
      <c r="P24" s="20">
        <v>3</v>
      </c>
      <c r="Q24" s="20">
        <v>3</v>
      </c>
      <c r="R24" s="20">
        <v>4</v>
      </c>
      <c r="S24" s="20">
        <v>5</v>
      </c>
      <c r="T24" s="20">
        <v>5</v>
      </c>
      <c r="U24" s="20">
        <v>5</v>
      </c>
      <c r="V24" s="20">
        <v>5</v>
      </c>
      <c r="W24" s="20">
        <v>3</v>
      </c>
      <c r="X24" s="20">
        <v>3</v>
      </c>
      <c r="Y24" s="20">
        <v>4</v>
      </c>
      <c r="Z24" s="20">
        <v>5</v>
      </c>
      <c r="AA24" s="20">
        <v>5</v>
      </c>
      <c r="AB24" s="20">
        <v>5</v>
      </c>
      <c r="AC24" s="20">
        <v>5</v>
      </c>
      <c r="AD24" s="20">
        <v>3</v>
      </c>
      <c r="AE24" s="20">
        <v>3</v>
      </c>
      <c r="AF24" s="20">
        <v>4</v>
      </c>
    </row>
    <row r="25" spans="1:32" ht="17" customHeight="1">
      <c r="A25" s="15" t="s">
        <v>67</v>
      </c>
      <c r="B25" s="16">
        <f>SUMPRODUCT(--(LEFT(B5:B22,1)="E"))</f>
        <v>0</v>
      </c>
      <c r="C25" s="16">
        <f>SUMPRODUCT(--(LEFT(C5:C22,1)="E"))</f>
        <v>0</v>
      </c>
      <c r="D25" s="16">
        <f>SUMPRODUCT(--(LEFT(D5:D22,1)="E"))</f>
        <v>0</v>
      </c>
      <c r="E25" s="16">
        <f>SUMPRODUCT(--(LEFT(E5:E22,1)="E"))</f>
        <v>0</v>
      </c>
      <c r="F25" s="16">
        <f>SUMPRODUCT(--(LEFT(F5:F22,1)="E"))</f>
        <v>0</v>
      </c>
      <c r="G25" s="16">
        <f>SUMPRODUCT(--(LEFT(G5:G22,1)="E"))</f>
        <v>0</v>
      </c>
      <c r="H25" s="16">
        <f>SUMPRODUCT(--(LEFT(H5:H22,1)="E"))</f>
        <v>0</v>
      </c>
      <c r="I25" s="16">
        <f>SUMPRODUCT(--(LEFT(I5:I22,1)="E"))</f>
        <v>0</v>
      </c>
      <c r="J25" s="16">
        <f>SUMPRODUCT(--(LEFT(J5:J22,1)="E"))</f>
        <v>0</v>
      </c>
      <c r="K25" s="16">
        <f>SUMPRODUCT(--(LEFT(K5:K22,1)="E"))</f>
        <v>0</v>
      </c>
      <c r="L25" s="16">
        <f>SUMPRODUCT(--(LEFT(L5:L22,1)="E"))</f>
        <v>0</v>
      </c>
      <c r="M25" s="16">
        <f>SUMPRODUCT(--(LEFT(M5:M22,1)="E"))</f>
        <v>0</v>
      </c>
      <c r="N25" s="16">
        <f>SUMPRODUCT(--(LEFT(N5:N22,1)="E"))</f>
        <v>0</v>
      </c>
      <c r="O25" s="16">
        <f>SUMPRODUCT(--(LEFT(O5:O22,1)="E"))</f>
        <v>0</v>
      </c>
      <c r="P25" s="16">
        <f>SUMPRODUCT(--(LEFT(P5:P22,1)="E"))</f>
        <v>0</v>
      </c>
      <c r="Q25" s="16">
        <f>SUMPRODUCT(--(LEFT(Q5:Q22,1)="E"))</f>
        <v>0</v>
      </c>
      <c r="R25" s="16">
        <f>SUMPRODUCT(--(LEFT(R5:R22,1)="E"))</f>
        <v>0</v>
      </c>
      <c r="S25" s="16">
        <f>SUMPRODUCT(--(LEFT(S5:S22,1)="E"))</f>
        <v>0</v>
      </c>
      <c r="T25" s="16">
        <f>SUMPRODUCT(--(LEFT(T5:T22,1)="E"))</f>
        <v>0</v>
      </c>
      <c r="U25" s="16">
        <f>SUMPRODUCT(--(LEFT(U5:U22,1)="E"))</f>
        <v>0</v>
      </c>
      <c r="V25" s="16">
        <f>SUMPRODUCT(--(LEFT(V5:V22,1)="E"))</f>
        <v>0</v>
      </c>
      <c r="W25" s="16">
        <f>SUMPRODUCT(--(LEFT(W5:W22,1)="E"))</f>
        <v>0</v>
      </c>
      <c r="X25" s="16">
        <f>SUMPRODUCT(--(LEFT(X5:X22,1)="E"))</f>
        <v>0</v>
      </c>
      <c r="Y25" s="16">
        <f>SUMPRODUCT(--(LEFT(Y5:Y22,1)="E"))</f>
        <v>0</v>
      </c>
      <c r="Z25" s="16">
        <f>SUMPRODUCT(--(LEFT(Z5:Z22,1)="E"))</f>
        <v>0</v>
      </c>
      <c r="AA25" s="16">
        <f>SUMPRODUCT(--(LEFT(AA5:AA22,1)="E"))</f>
        <v>0</v>
      </c>
      <c r="AB25" s="16">
        <f>SUMPRODUCT(--(LEFT(AB5:AB22,1)="E"))</f>
        <v>0</v>
      </c>
      <c r="AC25" s="16">
        <f>SUMPRODUCT(--(LEFT(AC5:AC22,1)="E"))</f>
        <v>0</v>
      </c>
      <c r="AD25" s="16">
        <f>SUMPRODUCT(--(LEFT(AD5:AD22,1)="E"))</f>
        <v>0</v>
      </c>
      <c r="AE25" s="16">
        <f>SUMPRODUCT(--(LEFT(AE5:AE22,1)="E"))</f>
        <v>0</v>
      </c>
      <c r="AF25" s="16">
        <f>SUMPRODUCT(--(LEFT(AF5:AF22,1)="E"))</f>
        <v>0</v>
      </c>
    </row>
    <row r="26" spans="1:32" ht="17" customHeight="1">
      <c r="A26" s="15" t="s">
        <v>68</v>
      </c>
      <c r="B26" s="16">
        <v>3</v>
      </c>
      <c r="C26" s="16">
        <v>4</v>
      </c>
      <c r="D26" s="16">
        <v>5</v>
      </c>
      <c r="E26" s="16">
        <v>5</v>
      </c>
      <c r="F26" s="16">
        <v>5</v>
      </c>
      <c r="G26" s="16">
        <v>5</v>
      </c>
      <c r="H26" s="16">
        <v>4</v>
      </c>
      <c r="I26" s="16">
        <v>3</v>
      </c>
      <c r="J26" s="16">
        <v>4</v>
      </c>
      <c r="K26" s="16">
        <v>5</v>
      </c>
      <c r="L26" s="16">
        <v>5</v>
      </c>
      <c r="M26" s="16">
        <v>5</v>
      </c>
      <c r="N26" s="16">
        <v>5</v>
      </c>
      <c r="O26" s="16">
        <v>4</v>
      </c>
      <c r="P26" s="16">
        <v>3</v>
      </c>
      <c r="Q26" s="16">
        <v>4</v>
      </c>
      <c r="R26" s="16">
        <v>5</v>
      </c>
      <c r="S26" s="16">
        <v>5</v>
      </c>
      <c r="T26" s="16">
        <v>5</v>
      </c>
      <c r="U26" s="16">
        <v>5</v>
      </c>
      <c r="V26" s="16">
        <v>4</v>
      </c>
      <c r="W26" s="16">
        <v>3</v>
      </c>
      <c r="X26" s="16">
        <v>4</v>
      </c>
      <c r="Y26" s="16">
        <v>5</v>
      </c>
      <c r="Z26" s="16">
        <v>5</v>
      </c>
      <c r="AA26" s="16">
        <v>5</v>
      </c>
      <c r="AB26" s="16">
        <v>5</v>
      </c>
      <c r="AC26" s="16">
        <v>4</v>
      </c>
      <c r="AD26" s="16">
        <v>3</v>
      </c>
      <c r="AE26" s="16">
        <v>4</v>
      </c>
      <c r="AF26" s="16">
        <v>5</v>
      </c>
    </row>
    <row r="27" spans="1:32" ht="17" customHeight="1">
      <c r="A27" s="15" t="s">
        <v>69</v>
      </c>
      <c r="B27" s="16">
        <f>SUMPRODUCT(--(LEFT(B5:B22,1)="N"))</f>
        <v>0</v>
      </c>
      <c r="C27" s="16">
        <f>SUMPRODUCT(--(LEFT(C5:C22,1)="N"))</f>
        <v>0</v>
      </c>
      <c r="D27" s="16">
        <f>SUMPRODUCT(--(LEFT(D5:D22,1)="N"))</f>
        <v>0</v>
      </c>
      <c r="E27" s="16">
        <f>SUMPRODUCT(--(LEFT(E5:E22,1)="N"))</f>
        <v>0</v>
      </c>
      <c r="F27" s="16">
        <f>SUMPRODUCT(--(LEFT(F5:F22,1)="N"))</f>
        <v>0</v>
      </c>
      <c r="G27" s="16">
        <f>SUMPRODUCT(--(LEFT(G5:G22,1)="N"))</f>
        <v>0</v>
      </c>
      <c r="H27" s="16">
        <f>SUMPRODUCT(--(LEFT(H5:H22,1)="N"))</f>
        <v>0</v>
      </c>
      <c r="I27" s="16">
        <f>SUMPRODUCT(--(LEFT(I5:I22,1)="N"))</f>
        <v>0</v>
      </c>
      <c r="J27" s="16">
        <f>SUMPRODUCT(--(LEFT(J5:J22,1)="N"))</f>
        <v>0</v>
      </c>
      <c r="K27" s="16">
        <f>SUMPRODUCT(--(LEFT(K5:K22,1)="N"))</f>
        <v>0</v>
      </c>
      <c r="L27" s="16">
        <f>SUMPRODUCT(--(LEFT(L5:L22,1)="N"))</f>
        <v>0</v>
      </c>
      <c r="M27" s="16">
        <f>SUMPRODUCT(--(LEFT(M5:M22,1)="N"))</f>
        <v>0</v>
      </c>
      <c r="N27" s="16">
        <f>SUMPRODUCT(--(LEFT(N5:N22,1)="N"))</f>
        <v>0</v>
      </c>
      <c r="O27" s="16">
        <f>SUMPRODUCT(--(LEFT(O5:O22,1)="N"))</f>
        <v>0</v>
      </c>
      <c r="P27" s="16">
        <f>SUMPRODUCT(--(LEFT(P5:P22,1)="N"))</f>
        <v>0</v>
      </c>
      <c r="Q27" s="16">
        <f>SUMPRODUCT(--(LEFT(Q5:Q22,1)="N"))</f>
        <v>0</v>
      </c>
      <c r="R27" s="16">
        <f>SUMPRODUCT(--(LEFT(R5:R22,1)="N"))</f>
        <v>0</v>
      </c>
      <c r="S27" s="16">
        <f>SUMPRODUCT(--(LEFT(S5:S22,1)="N"))</f>
        <v>0</v>
      </c>
      <c r="T27" s="16">
        <f>SUMPRODUCT(--(LEFT(T5:T22,1)="N"))</f>
        <v>0</v>
      </c>
      <c r="U27" s="16">
        <f>SUMPRODUCT(--(LEFT(U5:U22,1)="N"))</f>
        <v>0</v>
      </c>
      <c r="V27" s="16">
        <f>SUMPRODUCT(--(LEFT(V5:V22,1)="N"))</f>
        <v>0</v>
      </c>
      <c r="W27" s="16">
        <f>SUMPRODUCT(--(LEFT(W5:W22,1)="N"))</f>
        <v>0</v>
      </c>
      <c r="X27" s="16">
        <f>SUMPRODUCT(--(LEFT(X5:X22,1)="N"))</f>
        <v>0</v>
      </c>
      <c r="Y27" s="16">
        <f>SUMPRODUCT(--(LEFT(Y5:Y22,1)="N"))</f>
        <v>0</v>
      </c>
      <c r="Z27" s="16">
        <f>SUMPRODUCT(--(LEFT(Z5:Z22,1)="N"))</f>
        <v>0</v>
      </c>
      <c r="AA27" s="16">
        <f>SUMPRODUCT(--(LEFT(AA5:AA22,1)="N"))</f>
        <v>0</v>
      </c>
      <c r="AB27" s="16">
        <f>SUMPRODUCT(--(LEFT(AB5:AB22,1)="N"))</f>
        <v>0</v>
      </c>
      <c r="AC27" s="16">
        <f>SUMPRODUCT(--(LEFT(AC5:AC22,1)="N"))</f>
        <v>0</v>
      </c>
      <c r="AD27" s="16">
        <f>SUMPRODUCT(--(LEFT(AD5:AD22,1)="N"))</f>
        <v>0</v>
      </c>
      <c r="AE27" s="16">
        <f>SUMPRODUCT(--(LEFT(AE5:AE22,1)="N"))</f>
        <v>0</v>
      </c>
      <c r="AF27" s="16">
        <f>SUMPRODUCT(--(LEFT(AF5:AF22,1)="N"))</f>
        <v>0</v>
      </c>
    </row>
    <row r="28" spans="1:32" ht="17" customHeight="1">
      <c r="A28" s="15" t="s">
        <v>70</v>
      </c>
      <c r="B28" s="16">
        <v>2</v>
      </c>
      <c r="C28" s="16">
        <v>3</v>
      </c>
      <c r="D28" s="16">
        <v>3</v>
      </c>
      <c r="E28" s="16">
        <v>3</v>
      </c>
      <c r="F28" s="16">
        <v>3</v>
      </c>
      <c r="G28" s="16">
        <v>3</v>
      </c>
      <c r="H28" s="16">
        <v>3</v>
      </c>
      <c r="I28" s="16">
        <v>2</v>
      </c>
      <c r="J28" s="16">
        <v>3</v>
      </c>
      <c r="K28" s="16">
        <v>3</v>
      </c>
      <c r="L28" s="16">
        <v>3</v>
      </c>
      <c r="M28" s="16">
        <v>3</v>
      </c>
      <c r="N28" s="16">
        <v>3</v>
      </c>
      <c r="O28" s="16">
        <v>3</v>
      </c>
      <c r="P28" s="16">
        <v>2</v>
      </c>
      <c r="Q28" s="16">
        <v>3</v>
      </c>
      <c r="R28" s="16">
        <v>3</v>
      </c>
      <c r="S28" s="16">
        <v>3</v>
      </c>
      <c r="T28" s="16">
        <v>3</v>
      </c>
      <c r="U28" s="16">
        <v>3</v>
      </c>
      <c r="V28" s="16">
        <v>3</v>
      </c>
      <c r="W28" s="16">
        <v>2</v>
      </c>
      <c r="X28" s="16">
        <v>3</v>
      </c>
      <c r="Y28" s="16">
        <v>3</v>
      </c>
      <c r="Z28" s="16">
        <v>3</v>
      </c>
      <c r="AA28" s="16">
        <v>3</v>
      </c>
      <c r="AB28" s="16">
        <v>3</v>
      </c>
      <c r="AC28" s="16">
        <v>3</v>
      </c>
      <c r="AD28" s="16">
        <v>2</v>
      </c>
      <c r="AE28" s="16">
        <v>3</v>
      </c>
      <c r="AF28" s="16">
        <v>3</v>
      </c>
    </row>
  </sheetData>
  <phoneticPr fontId="1" type="noConversion"/>
  <conditionalFormatting sqref="B23">
    <cfRule type="expression" dxfId="92" priority="1" stopIfTrue="1">
      <formula>B23&lt;&gt;B24</formula>
    </cfRule>
  </conditionalFormatting>
  <conditionalFormatting sqref="C23">
    <cfRule type="expression" dxfId="91" priority="2" stopIfTrue="1">
      <formula>C23&lt;&gt;C24</formula>
    </cfRule>
  </conditionalFormatting>
  <conditionalFormatting sqref="D23">
    <cfRule type="expression" dxfId="90" priority="3" stopIfTrue="1">
      <formula>D23&lt;&gt;D24</formula>
    </cfRule>
  </conditionalFormatting>
  <conditionalFormatting sqref="E23">
    <cfRule type="expression" dxfId="89" priority="4" stopIfTrue="1">
      <formula>E23&lt;&gt;E24</formula>
    </cfRule>
  </conditionalFormatting>
  <conditionalFormatting sqref="F23">
    <cfRule type="expression" dxfId="88" priority="5" stopIfTrue="1">
      <formula>F23&lt;&gt;F24</formula>
    </cfRule>
  </conditionalFormatting>
  <conditionalFormatting sqref="G23">
    <cfRule type="expression" dxfId="87" priority="6" stopIfTrue="1">
      <formula>G23&lt;&gt;G24</formula>
    </cfRule>
  </conditionalFormatting>
  <conditionalFormatting sqref="H23">
    <cfRule type="expression" dxfId="86" priority="7" stopIfTrue="1">
      <formula>H23&lt;&gt;H24</formula>
    </cfRule>
  </conditionalFormatting>
  <conditionalFormatting sqref="I23">
    <cfRule type="expression" dxfId="85" priority="8" stopIfTrue="1">
      <formula>I23&lt;&gt;I24</formula>
    </cfRule>
  </conditionalFormatting>
  <conditionalFormatting sqref="J23">
    <cfRule type="expression" dxfId="84" priority="9" stopIfTrue="1">
      <formula>J23&lt;&gt;J24</formula>
    </cfRule>
  </conditionalFormatting>
  <conditionalFormatting sqref="K23">
    <cfRule type="expression" dxfId="83" priority="10" stopIfTrue="1">
      <formula>K23&lt;&gt;K24</formula>
    </cfRule>
  </conditionalFormatting>
  <conditionalFormatting sqref="L23">
    <cfRule type="expression" dxfId="82" priority="11" stopIfTrue="1">
      <formula>L23&lt;&gt;L24</formula>
    </cfRule>
  </conditionalFormatting>
  <conditionalFormatting sqref="M23">
    <cfRule type="expression" dxfId="81" priority="12" stopIfTrue="1">
      <formula>M23&lt;&gt;M24</formula>
    </cfRule>
  </conditionalFormatting>
  <conditionalFormatting sqref="N23">
    <cfRule type="expression" dxfId="80" priority="13" stopIfTrue="1">
      <formula>N23&lt;&gt;N24</formula>
    </cfRule>
  </conditionalFormatting>
  <conditionalFormatting sqref="O23">
    <cfRule type="expression" dxfId="79" priority="14" stopIfTrue="1">
      <formula>O23&lt;&gt;O24</formula>
    </cfRule>
  </conditionalFormatting>
  <conditionalFormatting sqref="P23">
    <cfRule type="expression" dxfId="78" priority="15" stopIfTrue="1">
      <formula>P23&lt;&gt;P24</formula>
    </cfRule>
  </conditionalFormatting>
  <conditionalFormatting sqref="Q23">
    <cfRule type="expression" dxfId="77" priority="16" stopIfTrue="1">
      <formula>Q23&lt;&gt;Q24</formula>
    </cfRule>
  </conditionalFormatting>
  <conditionalFormatting sqref="R23">
    <cfRule type="expression" dxfId="76" priority="17" stopIfTrue="1">
      <formula>R23&lt;&gt;R24</formula>
    </cfRule>
  </conditionalFormatting>
  <conditionalFormatting sqref="S23">
    <cfRule type="expression" dxfId="75" priority="18" stopIfTrue="1">
      <formula>S23&lt;&gt;S24</formula>
    </cfRule>
  </conditionalFormatting>
  <conditionalFormatting sqref="T23">
    <cfRule type="expression" dxfId="74" priority="19" stopIfTrue="1">
      <formula>T23&lt;&gt;T24</formula>
    </cfRule>
  </conditionalFormatting>
  <conditionalFormatting sqref="U23">
    <cfRule type="expression" dxfId="73" priority="20" stopIfTrue="1">
      <formula>U23&lt;&gt;U24</formula>
    </cfRule>
  </conditionalFormatting>
  <conditionalFormatting sqref="V23">
    <cfRule type="expression" dxfId="72" priority="21" stopIfTrue="1">
      <formula>V23&lt;&gt;V24</formula>
    </cfRule>
  </conditionalFormatting>
  <conditionalFormatting sqref="W23">
    <cfRule type="expression" dxfId="71" priority="22" stopIfTrue="1">
      <formula>W23&lt;&gt;W24</formula>
    </cfRule>
  </conditionalFormatting>
  <conditionalFormatting sqref="X23">
    <cfRule type="expression" dxfId="70" priority="23" stopIfTrue="1">
      <formula>X23&lt;&gt;X24</formula>
    </cfRule>
  </conditionalFormatting>
  <conditionalFormatting sqref="Y23">
    <cfRule type="expression" dxfId="69" priority="24" stopIfTrue="1">
      <formula>Y23&lt;&gt;Y24</formula>
    </cfRule>
  </conditionalFormatting>
  <conditionalFormatting sqref="Z23">
    <cfRule type="expression" dxfId="68" priority="25" stopIfTrue="1">
      <formula>Z23&lt;&gt;Z24</formula>
    </cfRule>
  </conditionalFormatting>
  <conditionalFormatting sqref="AA23">
    <cfRule type="expression" dxfId="67" priority="26" stopIfTrue="1">
      <formula>AA23&lt;&gt;AA24</formula>
    </cfRule>
  </conditionalFormatting>
  <conditionalFormatting sqref="AB23">
    <cfRule type="expression" dxfId="66" priority="27" stopIfTrue="1">
      <formula>AB23&lt;&gt;AB24</formula>
    </cfRule>
  </conditionalFormatting>
  <conditionalFormatting sqref="AC23">
    <cfRule type="expression" dxfId="65" priority="28" stopIfTrue="1">
      <formula>AC23&lt;&gt;AC24</formula>
    </cfRule>
  </conditionalFormatting>
  <conditionalFormatting sqref="AD23">
    <cfRule type="expression" dxfId="64" priority="29" stopIfTrue="1">
      <formula>AD23&lt;&gt;AD24</formula>
    </cfRule>
  </conditionalFormatting>
  <conditionalFormatting sqref="AE23">
    <cfRule type="expression" dxfId="63" priority="30" stopIfTrue="1">
      <formula>AE23&lt;&gt;AE24</formula>
    </cfRule>
  </conditionalFormatting>
  <conditionalFormatting sqref="AF23">
    <cfRule type="expression" dxfId="62" priority="31" stopIfTrue="1">
      <formula>AF23&lt;&gt;AF24</formula>
    </cfRule>
  </conditionalFormatting>
  <conditionalFormatting sqref="B25">
    <cfRule type="expression" dxfId="61" priority="32" stopIfTrue="1">
      <formula>B25&lt;&gt;B26</formula>
    </cfRule>
  </conditionalFormatting>
  <conditionalFormatting sqref="C25">
    <cfRule type="expression" dxfId="60" priority="33" stopIfTrue="1">
      <formula>C25&lt;&gt;C26</formula>
    </cfRule>
  </conditionalFormatting>
  <conditionalFormatting sqref="D25">
    <cfRule type="expression" dxfId="59" priority="34" stopIfTrue="1">
      <formula>D25&lt;&gt;D26</formula>
    </cfRule>
  </conditionalFormatting>
  <conditionalFormatting sqref="E25">
    <cfRule type="expression" dxfId="58" priority="35" stopIfTrue="1">
      <formula>E25&lt;&gt;E26</formula>
    </cfRule>
  </conditionalFormatting>
  <conditionalFormatting sqref="F25">
    <cfRule type="expression" dxfId="57" priority="36" stopIfTrue="1">
      <formula>F25&lt;&gt;F26</formula>
    </cfRule>
  </conditionalFormatting>
  <conditionalFormatting sqref="G25">
    <cfRule type="expression" dxfId="56" priority="37" stopIfTrue="1">
      <formula>G25&lt;&gt;G26</formula>
    </cfRule>
  </conditionalFormatting>
  <conditionalFormatting sqref="H25">
    <cfRule type="expression" dxfId="55" priority="38" stopIfTrue="1">
      <formula>H25&lt;&gt;H26</formula>
    </cfRule>
  </conditionalFormatting>
  <conditionalFormatting sqref="I25">
    <cfRule type="expression" dxfId="54" priority="39" stopIfTrue="1">
      <formula>I25&lt;&gt;I26</formula>
    </cfRule>
  </conditionalFormatting>
  <conditionalFormatting sqref="J25">
    <cfRule type="expression" dxfId="53" priority="40" stopIfTrue="1">
      <formula>J25&lt;&gt;J26</formula>
    </cfRule>
  </conditionalFormatting>
  <conditionalFormatting sqref="K25">
    <cfRule type="expression" dxfId="52" priority="41" stopIfTrue="1">
      <formula>K25&lt;&gt;K26</formula>
    </cfRule>
  </conditionalFormatting>
  <conditionalFormatting sqref="L25">
    <cfRule type="expression" dxfId="51" priority="42" stopIfTrue="1">
      <formula>L25&lt;&gt;L26</formula>
    </cfRule>
  </conditionalFormatting>
  <conditionalFormatting sqref="M25">
    <cfRule type="expression" dxfId="50" priority="43" stopIfTrue="1">
      <formula>M25&lt;&gt;M26</formula>
    </cfRule>
  </conditionalFormatting>
  <conditionalFormatting sqref="N25">
    <cfRule type="expression" dxfId="49" priority="44" stopIfTrue="1">
      <formula>N25&lt;&gt;N26</formula>
    </cfRule>
  </conditionalFormatting>
  <conditionalFormatting sqref="O25">
    <cfRule type="expression" dxfId="48" priority="45" stopIfTrue="1">
      <formula>O25&lt;&gt;O26</formula>
    </cfRule>
  </conditionalFormatting>
  <conditionalFormatting sqref="P25">
    <cfRule type="expression" dxfId="47" priority="46" stopIfTrue="1">
      <formula>P25&lt;&gt;P26</formula>
    </cfRule>
  </conditionalFormatting>
  <conditionalFormatting sqref="Q25">
    <cfRule type="expression" dxfId="46" priority="47" stopIfTrue="1">
      <formula>Q25&lt;&gt;Q26</formula>
    </cfRule>
  </conditionalFormatting>
  <conditionalFormatting sqref="R25">
    <cfRule type="expression" dxfId="45" priority="48" stopIfTrue="1">
      <formula>R25&lt;&gt;R26</formula>
    </cfRule>
  </conditionalFormatting>
  <conditionalFormatting sqref="S25">
    <cfRule type="expression" dxfId="44" priority="49" stopIfTrue="1">
      <formula>S25&lt;&gt;S26</formula>
    </cfRule>
  </conditionalFormatting>
  <conditionalFormatting sqref="T25">
    <cfRule type="expression" dxfId="43" priority="50" stopIfTrue="1">
      <formula>T25&lt;&gt;T26</formula>
    </cfRule>
  </conditionalFormatting>
  <conditionalFormatting sqref="U25">
    <cfRule type="expression" dxfId="42" priority="51" stopIfTrue="1">
      <formula>U25&lt;&gt;U26</formula>
    </cfRule>
  </conditionalFormatting>
  <conditionalFormatting sqref="V25">
    <cfRule type="expression" dxfId="41" priority="52" stopIfTrue="1">
      <formula>V25&lt;&gt;V26</formula>
    </cfRule>
  </conditionalFormatting>
  <conditionalFormatting sqref="W25">
    <cfRule type="expression" dxfId="40" priority="53" stopIfTrue="1">
      <formula>W25&lt;&gt;W26</formula>
    </cfRule>
  </conditionalFormatting>
  <conditionalFormatting sqref="X25">
    <cfRule type="expression" dxfId="39" priority="54" stopIfTrue="1">
      <formula>X25&lt;&gt;X26</formula>
    </cfRule>
  </conditionalFormatting>
  <conditionalFormatting sqref="Y25">
    <cfRule type="expression" dxfId="38" priority="55" stopIfTrue="1">
      <formula>Y25&lt;&gt;Y26</formula>
    </cfRule>
  </conditionalFormatting>
  <conditionalFormatting sqref="Z25">
    <cfRule type="expression" dxfId="37" priority="56" stopIfTrue="1">
      <formula>Z25&lt;&gt;Z26</formula>
    </cfRule>
  </conditionalFormatting>
  <conditionalFormatting sqref="AA25">
    <cfRule type="expression" dxfId="36" priority="57" stopIfTrue="1">
      <formula>AA25&lt;&gt;AA26</formula>
    </cfRule>
  </conditionalFormatting>
  <conditionalFormatting sqref="AB25">
    <cfRule type="expression" dxfId="35" priority="58" stopIfTrue="1">
      <formula>AB25&lt;&gt;AB26</formula>
    </cfRule>
  </conditionalFormatting>
  <conditionalFormatting sqref="AC25">
    <cfRule type="expression" dxfId="34" priority="59" stopIfTrue="1">
      <formula>AC25&lt;&gt;AC26</formula>
    </cfRule>
  </conditionalFormatting>
  <conditionalFormatting sqref="AD25">
    <cfRule type="expression" dxfId="33" priority="60" stopIfTrue="1">
      <formula>AD25&lt;&gt;AD26</formula>
    </cfRule>
  </conditionalFormatting>
  <conditionalFormatting sqref="AE25">
    <cfRule type="expression" dxfId="32" priority="61" stopIfTrue="1">
      <formula>AE25&lt;&gt;AE26</formula>
    </cfRule>
  </conditionalFormatting>
  <conditionalFormatting sqref="AF25">
    <cfRule type="expression" dxfId="31" priority="62" stopIfTrue="1">
      <formula>AF25&lt;&gt;AF26</formula>
    </cfRule>
  </conditionalFormatting>
  <conditionalFormatting sqref="B27">
    <cfRule type="expression" dxfId="30" priority="63" stopIfTrue="1">
      <formula>B27&lt;&gt;B28</formula>
    </cfRule>
  </conditionalFormatting>
  <conditionalFormatting sqref="C27">
    <cfRule type="expression" dxfId="29" priority="64" stopIfTrue="1">
      <formula>C27&lt;&gt;C28</formula>
    </cfRule>
  </conditionalFormatting>
  <conditionalFormatting sqref="D27">
    <cfRule type="expression" dxfId="28" priority="65" stopIfTrue="1">
      <formula>D27&lt;&gt;D28</formula>
    </cfRule>
  </conditionalFormatting>
  <conditionalFormatting sqref="E27">
    <cfRule type="expression" dxfId="27" priority="66" stopIfTrue="1">
      <formula>E27&lt;&gt;E28</formula>
    </cfRule>
  </conditionalFormatting>
  <conditionalFormatting sqref="F27">
    <cfRule type="expression" dxfId="26" priority="67" stopIfTrue="1">
      <formula>F27&lt;&gt;F28</formula>
    </cfRule>
  </conditionalFormatting>
  <conditionalFormatting sqref="G27">
    <cfRule type="expression" dxfId="25" priority="68" stopIfTrue="1">
      <formula>G27&lt;&gt;G28</formula>
    </cfRule>
  </conditionalFormatting>
  <conditionalFormatting sqref="H27">
    <cfRule type="expression" dxfId="24" priority="69" stopIfTrue="1">
      <formula>H27&lt;&gt;H28</formula>
    </cfRule>
  </conditionalFormatting>
  <conditionalFormatting sqref="I27">
    <cfRule type="expression" dxfId="23" priority="70" stopIfTrue="1">
      <formula>I27&lt;&gt;I28</formula>
    </cfRule>
  </conditionalFormatting>
  <conditionalFormatting sqref="J27">
    <cfRule type="expression" dxfId="22" priority="71" stopIfTrue="1">
      <formula>J27&lt;&gt;J28</formula>
    </cfRule>
  </conditionalFormatting>
  <conditionalFormatting sqref="K27">
    <cfRule type="expression" dxfId="21" priority="72" stopIfTrue="1">
      <formula>K27&lt;&gt;K28</formula>
    </cfRule>
  </conditionalFormatting>
  <conditionalFormatting sqref="L27">
    <cfRule type="expression" dxfId="20" priority="73" stopIfTrue="1">
      <formula>L27&lt;&gt;L28</formula>
    </cfRule>
  </conditionalFormatting>
  <conditionalFormatting sqref="M27">
    <cfRule type="expression" dxfId="19" priority="74" stopIfTrue="1">
      <formula>M27&lt;&gt;M28</formula>
    </cfRule>
  </conditionalFormatting>
  <conditionalFormatting sqref="N27">
    <cfRule type="expression" dxfId="18" priority="75" stopIfTrue="1">
      <formula>N27&lt;&gt;N28</formula>
    </cfRule>
  </conditionalFormatting>
  <conditionalFormatting sqref="O27">
    <cfRule type="expression" dxfId="17" priority="76" stopIfTrue="1">
      <formula>O27&lt;&gt;O28</formula>
    </cfRule>
  </conditionalFormatting>
  <conditionalFormatting sqref="P27">
    <cfRule type="expression" dxfId="16" priority="77" stopIfTrue="1">
      <formula>P27&lt;&gt;P28</formula>
    </cfRule>
  </conditionalFormatting>
  <conditionalFormatting sqref="Q27">
    <cfRule type="expression" dxfId="15" priority="78" stopIfTrue="1">
      <formula>Q27&lt;&gt;Q28</formula>
    </cfRule>
  </conditionalFormatting>
  <conditionalFormatting sqref="R27">
    <cfRule type="expression" dxfId="14" priority="79" stopIfTrue="1">
      <formula>R27&lt;&gt;R28</formula>
    </cfRule>
  </conditionalFormatting>
  <conditionalFormatting sqref="S27">
    <cfRule type="expression" dxfId="13" priority="80" stopIfTrue="1">
      <formula>S27&lt;&gt;S28</formula>
    </cfRule>
  </conditionalFormatting>
  <conditionalFormatting sqref="T27">
    <cfRule type="expression" dxfId="12" priority="81" stopIfTrue="1">
      <formula>T27&lt;&gt;T28</formula>
    </cfRule>
  </conditionalFormatting>
  <conditionalFormatting sqref="U27">
    <cfRule type="expression" dxfId="11" priority="82" stopIfTrue="1">
      <formula>U27&lt;&gt;U28</formula>
    </cfRule>
  </conditionalFormatting>
  <conditionalFormatting sqref="V27">
    <cfRule type="expression" dxfId="10" priority="83" stopIfTrue="1">
      <formula>V27&lt;&gt;V28</formula>
    </cfRule>
  </conditionalFormatting>
  <conditionalFormatting sqref="W27">
    <cfRule type="expression" dxfId="9" priority="84" stopIfTrue="1">
      <formula>W27&lt;&gt;W28</formula>
    </cfRule>
  </conditionalFormatting>
  <conditionalFormatting sqref="X27">
    <cfRule type="expression" dxfId="8" priority="85" stopIfTrue="1">
      <formula>X27&lt;&gt;X28</formula>
    </cfRule>
  </conditionalFormatting>
  <conditionalFormatting sqref="Y27">
    <cfRule type="expression" dxfId="7" priority="86" stopIfTrue="1">
      <formula>Y27&lt;&gt;Y28</formula>
    </cfRule>
  </conditionalFormatting>
  <conditionalFormatting sqref="Z27">
    <cfRule type="expression" dxfId="6" priority="87" stopIfTrue="1">
      <formula>Z27&lt;&gt;Z28</formula>
    </cfRule>
  </conditionalFormatting>
  <conditionalFormatting sqref="AA27">
    <cfRule type="expression" dxfId="5" priority="88" stopIfTrue="1">
      <formula>AA27&lt;&gt;AA28</formula>
    </cfRule>
  </conditionalFormatting>
  <conditionalFormatting sqref="AB27">
    <cfRule type="expression" dxfId="4" priority="89" stopIfTrue="1">
      <formula>AB27&lt;&gt;AB28</formula>
    </cfRule>
  </conditionalFormatting>
  <conditionalFormatting sqref="AC27">
    <cfRule type="expression" dxfId="3" priority="90" stopIfTrue="1">
      <formula>AC27&lt;&gt;AC28</formula>
    </cfRule>
  </conditionalFormatting>
  <conditionalFormatting sqref="AD27">
    <cfRule type="expression" dxfId="2" priority="91" stopIfTrue="1">
      <formula>AD27&lt;&gt;AD28</formula>
    </cfRule>
  </conditionalFormatting>
  <conditionalFormatting sqref="AE27">
    <cfRule type="expression" dxfId="1" priority="92" stopIfTrue="1">
      <formula>AE27&lt;&gt;AE28</formula>
    </cfRule>
  </conditionalFormatting>
  <conditionalFormatting sqref="AF27">
    <cfRule type="expression" dxfId="0" priority="93" stopIfTrue="1">
      <formula>AF27&lt;&gt;AF28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어싸인배정실행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7</xdr:col>
                    <xdr:colOff>457200</xdr:colOff>
                    <xdr:row>1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설정</vt:lpstr>
      <vt:lpstr>어싸인_2026-08</vt:lpstr>
      <vt:lpstr>어싸인상세_2026-08</vt:lpstr>
      <vt:lpstr>근무표_2026-08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yuangunn</dc:creator>
  <cp:lastModifiedBy>yuangunn</cp:lastModifiedBy>
  <dcterms:created xsi:type="dcterms:W3CDTF">2026-07-10T00:55:04Z</dcterms:created>
  <dcterms:modified xsi:type="dcterms:W3CDTF">2026-07-15T13:39:39Z</dcterms:modified>
</cp:coreProperties>
</file>